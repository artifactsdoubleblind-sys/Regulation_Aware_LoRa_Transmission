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spartansnsu-my.sharepoint.com/personal/s_de_spartans_nsu_edu/Documents/MastersWork/21_LORA_STM_ULP_JournelPaper/GitHub/ref/"/>
    </mc:Choice>
  </mc:AlternateContent>
  <xr:revisionPtr revIDLastSave="235" documentId="13_ncr:1_{50AB2B31-E007-4147-A2F7-CDF0A0E27CD2}" xr6:coauthVersionLast="47" xr6:coauthVersionMax="47" xr10:uidLastSave="{95B0D294-D386-49B1-9D3F-4B7A1EC98188}"/>
  <bookViews>
    <workbookView xWindow="-110" yWindow="-110" windowWidth="25820" windowHeight="13900" activeTab="2" xr2:uid="{00000000-000D-0000-FFFF-FFFF00000000}"/>
  </bookViews>
  <sheets>
    <sheet name="Sheet1" sheetId="1" r:id="rId1"/>
    <sheet name="RX_TX_Timing" sheetId="2" r:id="rId2"/>
    <sheet name="Sheet2" sheetId="4" r:id="rId3"/>
    <sheet name="TIM16_Config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4" l="1"/>
  <c r="L17" i="4"/>
  <c r="D5" i="4"/>
  <c r="D6" i="4" s="1"/>
  <c r="D7" i="4" s="1"/>
  <c r="V30" i="4"/>
  <c r="W28" i="4"/>
  <c r="V28" i="4"/>
  <c r="V32" i="4" s="1"/>
  <c r="R30" i="4"/>
  <c r="P32" i="4" s="1"/>
  <c r="P33" i="4" s="1"/>
  <c r="S12" i="4"/>
  <c r="G27" i="4"/>
  <c r="F27" i="4"/>
  <c r="E27" i="4"/>
  <c r="D27" i="4"/>
  <c r="S28" i="4"/>
  <c r="R28" i="4"/>
  <c r="R32" i="4" s="1"/>
  <c r="Q7" i="4"/>
  <c r="P10" i="4" s="1"/>
  <c r="T10" i="2"/>
  <c r="Z52" i="2"/>
  <c r="Y52" i="2"/>
  <c r="W47" i="2"/>
  <c r="V47" i="2"/>
  <c r="T47" i="2"/>
  <c r="O53" i="2"/>
  <c r="Q53" i="2" s="1"/>
  <c r="O52" i="2"/>
  <c r="Q52" i="2" s="1"/>
  <c r="O51" i="2"/>
  <c r="Q51" i="2" s="1"/>
  <c r="O50" i="2"/>
  <c r="Q50" i="2" s="1"/>
  <c r="O49" i="2"/>
  <c r="Q49" i="2" s="1"/>
  <c r="O48" i="2"/>
  <c r="Q48" i="2" s="1"/>
  <c r="O47" i="2"/>
  <c r="Q47" i="2" s="1"/>
  <c r="O46" i="2"/>
  <c r="Q46" i="2" s="1"/>
  <c r="O45" i="2"/>
  <c r="Q45" i="2" s="1"/>
  <c r="O44" i="2"/>
  <c r="Q44" i="2" s="1"/>
  <c r="O43" i="2"/>
  <c r="Q43" i="2" s="1"/>
  <c r="O42" i="2"/>
  <c r="Q42" i="2" s="1"/>
  <c r="O41" i="2"/>
  <c r="Q41" i="2" s="1"/>
  <c r="O40" i="2"/>
  <c r="Q40" i="2" s="1"/>
  <c r="O39" i="2"/>
  <c r="Q39" i="2" s="1"/>
  <c r="O38" i="2"/>
  <c r="Q38" i="2" s="1"/>
  <c r="O37" i="2"/>
  <c r="Q37" i="2" s="1"/>
  <c r="O36" i="2"/>
  <c r="Q36" i="2" s="1"/>
  <c r="O35" i="2"/>
  <c r="Q35" i="2" s="1"/>
  <c r="O34" i="2"/>
  <c r="Q34" i="2" s="1"/>
  <c r="O33" i="2"/>
  <c r="Q33" i="2" s="1"/>
  <c r="O32" i="2"/>
  <c r="Q32" i="2" s="1"/>
  <c r="N51" i="2"/>
  <c r="N52" i="2" s="1"/>
  <c r="N53" i="2" s="1"/>
  <c r="S50" i="2"/>
  <c r="M39" i="2"/>
  <c r="N34" i="2"/>
  <c r="N35" i="2" s="1"/>
  <c r="N36" i="2" s="1"/>
  <c r="N37" i="2" s="1"/>
  <c r="N38" i="2" s="1"/>
  <c r="N39" i="2" s="1"/>
  <c r="N40" i="2" s="1"/>
  <c r="N41" i="2" s="1"/>
  <c r="N42" i="2" s="1"/>
  <c r="N43" i="2" s="1"/>
  <c r="N44" i="2" s="1"/>
  <c r="N45" i="2" s="1"/>
  <c r="N46" i="2" s="1"/>
  <c r="N47" i="2" s="1"/>
  <c r="N48" i="2" s="1"/>
  <c r="N49" i="2" s="1"/>
  <c r="N50" i="2" s="1"/>
  <c r="N33" i="2"/>
  <c r="Z20" i="2"/>
  <c r="W32" i="2"/>
  <c r="W31" i="2"/>
  <c r="W28" i="2"/>
  <c r="Y10" i="2"/>
  <c r="W29" i="2"/>
  <c r="W30" i="2" s="1"/>
  <c r="W27" i="2"/>
  <c r="W26" i="2"/>
  <c r="AC11" i="2"/>
  <c r="Y11" i="2"/>
  <c r="AC12" i="2"/>
  <c r="AC13" i="2" s="1"/>
  <c r="Y12" i="2"/>
  <c r="V13" i="2"/>
  <c r="W12" i="2"/>
  <c r="U13" i="2"/>
  <c r="U14" i="2" s="1"/>
  <c r="S8" i="2"/>
  <c r="T8" i="2" s="1"/>
  <c r="D12" i="3"/>
  <c r="D11" i="3"/>
  <c r="H10" i="3"/>
  <c r="E10" i="3"/>
  <c r="E16" i="3" s="1"/>
  <c r="E18" i="3" s="1"/>
  <c r="K8" i="3"/>
  <c r="F8" i="3"/>
  <c r="F6" i="3"/>
  <c r="P3" i="3"/>
  <c r="I4" i="4" l="1"/>
  <c r="Q80" i="2"/>
  <c r="S80" i="2" s="1"/>
  <c r="Q54" i="2"/>
  <c r="S54" i="2" s="1"/>
  <c r="W33" i="2"/>
  <c r="W34" i="2" s="1"/>
  <c r="AC14" i="2"/>
  <c r="AC15" i="2" s="1"/>
  <c r="AC16" i="2" s="1"/>
  <c r="AD13" i="2"/>
  <c r="U15" i="2"/>
  <c r="W14" i="2"/>
  <c r="W13" i="2"/>
  <c r="X13" i="2" s="1"/>
  <c r="E11" i="3"/>
  <c r="L9" i="4" l="1"/>
  <c r="L11" i="4" s="1"/>
  <c r="N4" i="4"/>
  <c r="L13" i="4"/>
  <c r="U16" i="2"/>
  <c r="W15" i="2"/>
  <c r="E12" i="3"/>
  <c r="Q3" i="3"/>
  <c r="P4" i="3" s="1"/>
  <c r="L15" i="4" l="1"/>
  <c r="L19" i="4" s="1"/>
  <c r="W16" i="2"/>
  <c r="Y13" i="2" l="1"/>
  <c r="AA12" i="2"/>
  <c r="Y14" i="2" l="1"/>
  <c r="AA13" i="2"/>
  <c r="AB13" i="2" s="1"/>
  <c r="Z13" i="2"/>
  <c r="Y15" i="2" l="1"/>
  <c r="AA14" i="2"/>
  <c r="Y16" i="2" l="1"/>
  <c r="AA15" i="2"/>
  <c r="AA16" i="2" l="1"/>
</calcChain>
</file>

<file path=xl/sharedStrings.xml><?xml version="1.0" encoding="utf-8"?>
<sst xmlns="http://schemas.openxmlformats.org/spreadsheetml/2006/main" count="123" uniqueCount="86">
  <si>
    <t>As On</t>
  </si>
  <si>
    <t>Transmitter</t>
  </si>
  <si>
    <t>Receiver</t>
  </si>
  <si>
    <t>Success</t>
  </si>
  <si>
    <t>PacketSize_bytes</t>
  </si>
  <si>
    <t>DelayBetweenTransmission_ms</t>
  </si>
  <si>
    <t>PostSleepDelay_ms</t>
  </si>
  <si>
    <t>Timeout_ms</t>
  </si>
  <si>
    <t>Yes</t>
  </si>
  <si>
    <t>No</t>
  </si>
  <si>
    <t>OK</t>
  </si>
  <si>
    <t>3 packets good, then 1 packet miss</t>
  </si>
  <si>
    <t>indication=&gt; when skipping packages, try increasing paccket size</t>
  </si>
  <si>
    <t>12 packets good, then 1 packet miss</t>
  </si>
  <si>
    <t>Rx SX1276 glitching</t>
  </si>
  <si>
    <t>Bad</t>
  </si>
  <si>
    <t>Some packets are reppeated on Rx for some reason.</t>
  </si>
  <si>
    <t>Better, but still some packts are gone</t>
  </si>
  <si>
    <t>RxDone</t>
  </si>
  <si>
    <t>TxDone</t>
  </si>
  <si>
    <t>Config Rx</t>
  </si>
  <si>
    <t>Receiving + Prop delay</t>
  </si>
  <si>
    <t>Reading Data</t>
  </si>
  <si>
    <t>Delay</t>
  </si>
  <si>
    <t>Config Tx</t>
  </si>
  <si>
    <t>Transmit Data</t>
  </si>
  <si>
    <t>DONE</t>
  </si>
  <si>
    <t>Transmit Data+0.1</t>
  </si>
  <si>
    <t>time t</t>
  </si>
  <si>
    <t>Populate yellow cells</t>
  </si>
  <si>
    <t>HCLK</t>
  </si>
  <si>
    <t>MHz</t>
  </si>
  <si>
    <t>Prescalar</t>
  </si>
  <si>
    <t>Counter Period</t>
  </si>
  <si>
    <t>Time taken to increment the counter by 1 number</t>
  </si>
  <si>
    <t>us</t>
  </si>
  <si>
    <t>ms</t>
  </si>
  <si>
    <t>s</t>
  </si>
  <si>
    <t>time/(clk/prescalr)</t>
  </si>
  <si>
    <t>time*prescalar/clk</t>
  </si>
  <si>
    <t>=</t>
  </si>
  <si>
    <t>+</t>
  </si>
  <si>
    <t>is computed in MCU</t>
  </si>
  <si>
    <t>t1</t>
  </si>
  <si>
    <t>t3</t>
  </si>
  <si>
    <t>the transmitter shall know:</t>
  </si>
  <si>
    <t>t23</t>
  </si>
  <si>
    <t>t24</t>
  </si>
  <si>
    <t>After 1 transmission, the transmitter shall:</t>
  </si>
  <si>
    <t>wait for t1 seconds, so the Rx Config can happen</t>
  </si>
  <si>
    <t>TRANSMIT</t>
  </si>
  <si>
    <t>wait for t23 + t24 + t3 seconds</t>
  </si>
  <si>
    <t>Synchronization Sequence</t>
  </si>
  <si>
    <t>Receiving</t>
  </si>
  <si>
    <t>Receive + Prop Delay + Read Buffer</t>
  </si>
  <si>
    <t>Delay (t21) + Config Tx (t22) + ToA (t23) + Prop Delay (t24) + read buffer time (t3)</t>
  </si>
  <si>
    <t>bits/sec</t>
  </si>
  <si>
    <t>bytes/sec</t>
  </si>
  <si>
    <t>i</t>
  </si>
  <si>
    <t>f0</t>
  </si>
  <si>
    <t>deltaf</t>
  </si>
  <si>
    <t>x</t>
  </si>
  <si>
    <t>Max (i) = 4, meaning 5 transmitetrs</t>
  </si>
  <si>
    <t>)</t>
  </si>
  <si>
    <t>))</t>
  </si>
  <si>
    <t>)))</t>
  </si>
  <si>
    <t>t</t>
  </si>
  <si>
    <t>Current(mA)</t>
  </si>
  <si>
    <t>numberoftransmitter</t>
  </si>
  <si>
    <t>Energy (Wh or J)</t>
  </si>
  <si>
    <t>ms/bytes</t>
  </si>
  <si>
    <t>Image Size</t>
  </si>
  <si>
    <t>KB</t>
  </si>
  <si>
    <t>H</t>
  </si>
  <si>
    <t>N</t>
  </si>
  <si>
    <t>sec</t>
  </si>
  <si>
    <t>Bytes</t>
  </si>
  <si>
    <t>delta</t>
  </si>
  <si>
    <t>K</t>
  </si>
  <si>
    <t>seconds</t>
  </si>
  <si>
    <t>Hopps</t>
  </si>
  <si>
    <t>Time</t>
  </si>
  <si>
    <t>size</t>
  </si>
  <si>
    <t>IFT (s)</t>
  </si>
  <si>
    <t>New (s)</t>
  </si>
  <si>
    <t>SFT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</si>
</sst>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scheme val="minor"/>
    </font>
    <font>
      <sz val="11"/>
      <color rgb="FF9C0006"/>
      <name val="Calibri"/>
      <scheme val="minor"/>
    </font>
    <font>
      <sz val="11"/>
      <color rgb="FF9C6500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92D050"/>
        <bgColor rgb="FF92D050"/>
      </patternFill>
    </fill>
    <fill>
      <patternFill patternType="solid">
        <fgColor indexed="5"/>
        <bgColor indexed="5"/>
      </patternFill>
    </fill>
    <fill>
      <patternFill patternType="solid">
        <fgColor indexed="5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2" borderId="0" applyNumberFormat="0" applyBorder="0"/>
    <xf numFmtId="0" fontId="3" fillId="3" borderId="0" applyNumberFormat="0" applyBorder="0"/>
    <xf numFmtId="0" fontId="4" fillId="4" borderId="0" applyNumberFormat="0" applyBorder="0"/>
  </cellStyleXfs>
  <cellXfs count="14">
    <xf numFmtId="0" fontId="0" fillId="0" borderId="0" xfId="0"/>
    <xf numFmtId="0" fontId="0" fillId="0" borderId="0" xfId="0" applyAlignment="1">
      <alignment horizontal="center"/>
    </xf>
    <xf numFmtId="15" fontId="0" fillId="0" borderId="0" xfId="0" applyNumberFormat="1"/>
    <xf numFmtId="0" fontId="2" fillId="2" borderId="0" xfId="1"/>
    <xf numFmtId="0" fontId="3" fillId="3" borderId="0" xfId="2"/>
    <xf numFmtId="0" fontId="4" fillId="4" borderId="0" xfId="3"/>
    <xf numFmtId="0" fontId="0" fillId="5" borderId="0" xfId="0" applyFill="1"/>
    <xf numFmtId="0" fontId="0" fillId="6" borderId="0" xfId="0" applyFill="1"/>
    <xf numFmtId="0" fontId="0" fillId="7" borderId="0" xfId="0" applyFill="1"/>
    <xf numFmtId="2" fontId="0" fillId="0" borderId="0" xfId="0" applyNumberFormat="1"/>
    <xf numFmtId="164" fontId="0" fillId="0" borderId="0" xfId="0" applyNumberFormat="1"/>
    <xf numFmtId="0" fontId="1" fillId="0" borderId="0" xfId="0" applyFont="1"/>
    <xf numFmtId="11" fontId="0" fillId="0" borderId="0" xfId="0" applyNumberFormat="1"/>
    <xf numFmtId="0" fontId="0" fillId="0" borderId="0" xfId="0" applyAlignment="1">
      <alignment horizontal="center"/>
    </xf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1">
    <dxf>
      <fill>
        <patternFill patternType="solid">
          <fgColor indexed="2"/>
          <bgColor indexed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1333499</xdr:colOff>
      <xdr:row>15</xdr:row>
      <xdr:rowOff>123824</xdr:rowOff>
    </xdr:from>
    <xdr:to>
      <xdr:col>14</xdr:col>
      <xdr:colOff>38100</xdr:colOff>
      <xdr:row>15</xdr:row>
      <xdr:rowOff>123824</xdr:rowOff>
    </xdr:to>
    <xdr:cxnSp macro="">
      <xdr:nvCxnSpPr>
        <xdr:cNvPr id="1047777759" name="Straight Connector 1047777758">
          <a:extLst>
            <a:ext uri="{FF2B5EF4-FFF2-40B4-BE49-F238E27FC236}">
              <a16:creationId xmlns:a16="http://schemas.microsoft.com/office/drawing/2014/main" id="{00000000-0008-0000-0100-0000DFD1733E}"/>
            </a:ext>
          </a:extLst>
        </xdr:cNvPr>
        <xdr:cNvCxnSpPr/>
      </xdr:nvCxnSpPr>
      <xdr:spPr bwMode="auto">
        <a:xfrm>
          <a:off x="6315074" y="2981324"/>
          <a:ext cx="3905251" cy="0"/>
        </a:xfrm>
        <a:prstGeom prst="line">
          <a:avLst/>
        </a:prstGeom>
        <a:solidFill>
          <a:srgbClr val="FFFF00"/>
        </a:solidFill>
        <a:ln w="28575" cap="flat" cmpd="sng" algn="ctr">
          <a:solidFill>
            <a:srgbClr val="FF0000"/>
          </a:solidFill>
          <a:prstDash val="sysDash"/>
          <a:miter lim="800000"/>
          <a:headEnd type="arrow"/>
          <a:tailEnd type="arrow" len="med"/>
        </a:ln>
      </xdr:spPr>
      <xdr:style>
        <a:lnRef idx="1">
          <a:schemeClr val="accent1">
            <a:shade val="50000"/>
          </a:schemeClr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2:J18"/>
  <sheetViews>
    <sheetView workbookViewId="0"/>
  </sheetViews>
  <sheetFormatPr defaultRowHeight="14.5" x14ac:dyDescent="0.35"/>
  <cols>
    <col min="5" max="5" width="15.26953125" bestFit="1"/>
    <col min="6" max="6" width="27.54296875" bestFit="1"/>
    <col min="7" max="7" width="17.26953125" bestFit="1"/>
    <col min="8" max="8" width="11.26953125" bestFit="1"/>
  </cols>
  <sheetData>
    <row r="2" spans="4:10" x14ac:dyDescent="0.35">
      <c r="D2" s="13" t="s">
        <v>0</v>
      </c>
      <c r="E2" s="13" t="s">
        <v>1</v>
      </c>
      <c r="F2" s="13"/>
      <c r="G2" t="s">
        <v>2</v>
      </c>
      <c r="I2" s="13" t="s">
        <v>3</v>
      </c>
    </row>
    <row r="3" spans="4:10" x14ac:dyDescent="0.35">
      <c r="D3" s="13"/>
      <c r="E3" t="s">
        <v>4</v>
      </c>
      <c r="F3" t="s">
        <v>5</v>
      </c>
      <c r="G3" t="s">
        <v>6</v>
      </c>
      <c r="H3" t="s">
        <v>7</v>
      </c>
      <c r="I3" s="13"/>
    </row>
    <row r="4" spans="4:10" x14ac:dyDescent="0.35">
      <c r="D4" s="2">
        <v>45831</v>
      </c>
      <c r="E4">
        <v>120</v>
      </c>
      <c r="F4">
        <v>1000</v>
      </c>
      <c r="G4">
        <v>100</v>
      </c>
      <c r="H4">
        <v>1000</v>
      </c>
      <c r="I4" s="3" t="s">
        <v>8</v>
      </c>
    </row>
    <row r="5" spans="4:10" x14ac:dyDescent="0.35">
      <c r="D5" s="2">
        <v>45831</v>
      </c>
      <c r="E5">
        <v>120</v>
      </c>
      <c r="F5">
        <v>500</v>
      </c>
      <c r="G5">
        <v>50</v>
      </c>
      <c r="H5">
        <v>500</v>
      </c>
      <c r="I5" s="4" t="s">
        <v>9</v>
      </c>
    </row>
    <row r="6" spans="4:10" x14ac:dyDescent="0.35">
      <c r="D6" s="2">
        <v>45831</v>
      </c>
      <c r="E6">
        <v>60</v>
      </c>
      <c r="F6">
        <v>500</v>
      </c>
      <c r="G6">
        <v>50</v>
      </c>
      <c r="H6">
        <v>500</v>
      </c>
      <c r="I6" s="5" t="s">
        <v>10</v>
      </c>
      <c r="J6" t="s">
        <v>11</v>
      </c>
    </row>
    <row r="7" spans="4:10" x14ac:dyDescent="0.35">
      <c r="D7" s="2">
        <v>45831</v>
      </c>
      <c r="E7">
        <v>80</v>
      </c>
      <c r="F7">
        <v>500</v>
      </c>
      <c r="G7">
        <v>50</v>
      </c>
      <c r="H7">
        <v>500</v>
      </c>
      <c r="I7" s="3" t="s">
        <v>8</v>
      </c>
      <c r="J7" t="s">
        <v>12</v>
      </c>
    </row>
    <row r="8" spans="4:10" x14ac:dyDescent="0.35">
      <c r="D8" s="2">
        <v>45831</v>
      </c>
      <c r="E8">
        <v>40</v>
      </c>
      <c r="F8">
        <v>250</v>
      </c>
      <c r="G8">
        <v>25</v>
      </c>
      <c r="H8">
        <v>250</v>
      </c>
      <c r="I8" s="5" t="s">
        <v>10</v>
      </c>
      <c r="J8" t="s">
        <v>11</v>
      </c>
    </row>
    <row r="9" spans="4:10" x14ac:dyDescent="0.35">
      <c r="D9" s="2">
        <v>45831</v>
      </c>
      <c r="E9">
        <v>60</v>
      </c>
      <c r="F9">
        <v>250</v>
      </c>
      <c r="G9">
        <v>25</v>
      </c>
      <c r="H9">
        <v>250</v>
      </c>
      <c r="I9" s="5" t="s">
        <v>10</v>
      </c>
      <c r="J9" t="s">
        <v>13</v>
      </c>
    </row>
    <row r="10" spans="4:10" x14ac:dyDescent="0.35">
      <c r="D10" s="2">
        <v>45831</v>
      </c>
      <c r="E10">
        <v>65</v>
      </c>
      <c r="F10">
        <v>250</v>
      </c>
      <c r="G10">
        <v>25</v>
      </c>
      <c r="H10">
        <v>250</v>
      </c>
      <c r="I10" s="4" t="s">
        <v>9</v>
      </c>
      <c r="J10" t="s">
        <v>14</v>
      </c>
    </row>
    <row r="11" spans="4:10" x14ac:dyDescent="0.35">
      <c r="D11" s="2">
        <v>45831</v>
      </c>
      <c r="E11">
        <v>65</v>
      </c>
      <c r="F11">
        <v>200</v>
      </c>
      <c r="G11">
        <v>25</v>
      </c>
      <c r="H11">
        <v>300</v>
      </c>
      <c r="I11" s="4" t="s">
        <v>9</v>
      </c>
      <c r="J11" t="s">
        <v>15</v>
      </c>
    </row>
    <row r="12" spans="4:10" x14ac:dyDescent="0.35">
      <c r="D12" s="2">
        <v>45831</v>
      </c>
      <c r="E12">
        <v>30</v>
      </c>
      <c r="F12">
        <v>200</v>
      </c>
      <c r="G12">
        <v>25</v>
      </c>
      <c r="H12">
        <v>300</v>
      </c>
      <c r="I12" s="4" t="s">
        <v>9</v>
      </c>
      <c r="J12" t="s">
        <v>15</v>
      </c>
    </row>
    <row r="13" spans="4:10" x14ac:dyDescent="0.35">
      <c r="D13" s="2">
        <v>45831</v>
      </c>
      <c r="E13">
        <v>240</v>
      </c>
      <c r="F13">
        <v>1500</v>
      </c>
      <c r="G13">
        <v>100</v>
      </c>
      <c r="H13">
        <v>1500</v>
      </c>
      <c r="I13" s="4" t="s">
        <v>9</v>
      </c>
      <c r="J13" t="s">
        <v>16</v>
      </c>
    </row>
    <row r="14" spans="4:10" x14ac:dyDescent="0.35">
      <c r="D14" s="2">
        <v>45831</v>
      </c>
      <c r="E14">
        <v>240</v>
      </c>
      <c r="F14">
        <v>1500</v>
      </c>
      <c r="G14">
        <v>100</v>
      </c>
      <c r="H14">
        <v>1200</v>
      </c>
      <c r="I14" s="4" t="s">
        <v>9</v>
      </c>
      <c r="J14" t="s">
        <v>17</v>
      </c>
    </row>
    <row r="15" spans="4:10" x14ac:dyDescent="0.35">
      <c r="D15" s="2">
        <v>45831</v>
      </c>
      <c r="E15">
        <v>240</v>
      </c>
      <c r="F15">
        <v>1500</v>
      </c>
      <c r="G15">
        <v>100</v>
      </c>
      <c r="H15">
        <v>1100</v>
      </c>
      <c r="I15" s="4" t="s">
        <v>9</v>
      </c>
      <c r="J15" t="s">
        <v>15</v>
      </c>
    </row>
    <row r="16" spans="4:10" x14ac:dyDescent="0.35">
      <c r="D16" s="2">
        <v>45831</v>
      </c>
      <c r="E16">
        <v>240</v>
      </c>
      <c r="F16">
        <v>2000</v>
      </c>
      <c r="G16">
        <v>200</v>
      </c>
      <c r="H16">
        <v>2000</v>
      </c>
      <c r="I16" s="3" t="s">
        <v>8</v>
      </c>
    </row>
    <row r="17" spans="4:10" x14ac:dyDescent="0.35">
      <c r="D17" s="2">
        <v>45831</v>
      </c>
      <c r="E17">
        <v>240</v>
      </c>
      <c r="F17">
        <v>2000</v>
      </c>
      <c r="G17">
        <v>200</v>
      </c>
      <c r="H17">
        <v>1500</v>
      </c>
      <c r="I17" s="4" t="s">
        <v>9</v>
      </c>
      <c r="J17" t="s">
        <v>15</v>
      </c>
    </row>
    <row r="18" spans="4:10" x14ac:dyDescent="0.35">
      <c r="D18" s="2">
        <v>45831</v>
      </c>
      <c r="E18">
        <v>240</v>
      </c>
      <c r="F18">
        <v>1000</v>
      </c>
      <c r="G18">
        <v>200</v>
      </c>
      <c r="H18">
        <v>1000</v>
      </c>
      <c r="I18" s="4" t="s">
        <v>9</v>
      </c>
      <c r="J18" t="s">
        <v>15</v>
      </c>
    </row>
  </sheetData>
  <mergeCells count="3">
    <mergeCell ref="D2:D3"/>
    <mergeCell ref="E2:F2"/>
    <mergeCell ref="I2:I3"/>
  </mergeCells>
  <pageMargins left="0.7" right="0.7" top="0.75" bottom="0.75" header="0.3" footer="0.3"/>
  <pageSetup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G7:AD80"/>
  <sheetViews>
    <sheetView topLeftCell="D1" workbookViewId="0">
      <selection activeCell="S9" sqref="S9"/>
    </sheetView>
  </sheetViews>
  <sheetFormatPr defaultRowHeight="14.5" x14ac:dyDescent="0.35"/>
  <cols>
    <col min="1" max="6" width="9.1796875" customWidth="1"/>
    <col min="7" max="7" width="10.7265625" bestFit="1" customWidth="1"/>
    <col min="8" max="8" width="9.1796875" customWidth="1"/>
    <col min="9" max="9" width="20" bestFit="1" customWidth="1"/>
    <col min="10" max="11" width="12.1796875" bestFit="1" customWidth="1"/>
    <col min="12" max="12" width="8.7265625" bestFit="1" customWidth="1"/>
    <col min="13" max="13" width="12.81640625" bestFit="1" customWidth="1"/>
    <col min="14" max="14" width="12.1796875" bestFit="1" customWidth="1"/>
    <col min="15" max="15" width="9.1796875" customWidth="1"/>
    <col min="19" max="19" width="9.81640625" bestFit="1" customWidth="1"/>
  </cols>
  <sheetData>
    <row r="7" spans="7:30" x14ac:dyDescent="0.35">
      <c r="R7" t="s">
        <v>56</v>
      </c>
      <c r="S7" t="s">
        <v>57</v>
      </c>
      <c r="T7" t="s">
        <v>36</v>
      </c>
    </row>
    <row r="8" spans="7:30" x14ac:dyDescent="0.35">
      <c r="G8" t="s">
        <v>52</v>
      </c>
      <c r="R8">
        <v>5000000</v>
      </c>
      <c r="S8">
        <f>R8/8</f>
        <v>625000</v>
      </c>
      <c r="T8">
        <f>240/S8*1000</f>
        <v>0.38400000000000001</v>
      </c>
    </row>
    <row r="10" spans="7:30" x14ac:dyDescent="0.35">
      <c r="J10" t="s">
        <v>18</v>
      </c>
      <c r="N10" t="s">
        <v>19</v>
      </c>
      <c r="T10">
        <f>T8/240</f>
        <v>1.6000000000000001E-3</v>
      </c>
      <c r="U10" t="s">
        <v>70</v>
      </c>
      <c r="Y10">
        <f>Y11/W22</f>
        <v>5</v>
      </c>
    </row>
    <row r="11" spans="7:30" x14ac:dyDescent="0.35">
      <c r="G11" t="s">
        <v>2</v>
      </c>
      <c r="H11" t="s">
        <v>20</v>
      </c>
      <c r="I11" t="s">
        <v>53</v>
      </c>
      <c r="J11" t="s">
        <v>22</v>
      </c>
      <c r="K11" s="6" t="s">
        <v>23</v>
      </c>
      <c r="L11" s="6" t="s">
        <v>24</v>
      </c>
      <c r="M11" t="s">
        <v>25</v>
      </c>
      <c r="N11" t="s">
        <v>26</v>
      </c>
      <c r="W11" s="10"/>
      <c r="Y11" s="10">
        <f>Y12-U12</f>
        <v>1.25</v>
      </c>
      <c r="AC11" s="10">
        <f>AC12-U12</f>
        <v>2.5</v>
      </c>
    </row>
    <row r="12" spans="7:30" x14ac:dyDescent="0.35">
      <c r="U12" s="9">
        <v>905</v>
      </c>
      <c r="W12" s="10">
        <f>U12+0.125</f>
        <v>905.125</v>
      </c>
      <c r="Y12" s="10">
        <f>U16+0.25</f>
        <v>906.25</v>
      </c>
      <c r="AA12" s="10">
        <f>Y12+0.125</f>
        <v>906.375</v>
      </c>
      <c r="AC12" s="10">
        <f>Y16+0.25</f>
        <v>907.5</v>
      </c>
    </row>
    <row r="13" spans="7:30" x14ac:dyDescent="0.35">
      <c r="T13" s="9"/>
      <c r="U13" s="9">
        <f>U12+0.25</f>
        <v>905.25</v>
      </c>
      <c r="V13" s="9">
        <f>U13-U12</f>
        <v>0.25</v>
      </c>
      <c r="W13" s="10">
        <f t="shared" ref="W13:W16" si="0">U13+0.125</f>
        <v>905.375</v>
      </c>
      <c r="X13" s="10">
        <f>W13-W12</f>
        <v>0.25</v>
      </c>
      <c r="Y13" s="9">
        <f>Y12+0.25</f>
        <v>906.5</v>
      </c>
      <c r="Z13" s="10">
        <f>Y13-Y12</f>
        <v>0.25</v>
      </c>
      <c r="AA13" s="10">
        <f t="shared" ref="AA13:AA16" si="1">Y13+0.125</f>
        <v>906.625</v>
      </c>
      <c r="AB13" s="10">
        <f>AA13-AA12</f>
        <v>0.25</v>
      </c>
      <c r="AC13" s="9">
        <f>AC12+0.25</f>
        <v>907.75</v>
      </c>
      <c r="AD13" s="10">
        <f>AC13-AC12</f>
        <v>0.25</v>
      </c>
    </row>
    <row r="14" spans="7:30" x14ac:dyDescent="0.35">
      <c r="J14" t="s">
        <v>19</v>
      </c>
      <c r="N14" t="s">
        <v>18</v>
      </c>
      <c r="U14" s="9">
        <f t="shared" ref="U14:Y16" si="2">U13+0.25</f>
        <v>905.5</v>
      </c>
      <c r="W14" s="10">
        <f t="shared" si="0"/>
        <v>905.625</v>
      </c>
      <c r="Y14" s="9">
        <f t="shared" si="2"/>
        <v>906.75</v>
      </c>
      <c r="AA14" s="10">
        <f t="shared" si="1"/>
        <v>906.875</v>
      </c>
      <c r="AC14" s="9">
        <f t="shared" ref="AC14:AC16" si="3">AC13+0.25</f>
        <v>908</v>
      </c>
    </row>
    <row r="15" spans="7:30" x14ac:dyDescent="0.35">
      <c r="G15" t="s">
        <v>1</v>
      </c>
      <c r="H15" t="s">
        <v>24</v>
      </c>
      <c r="I15" s="1" t="s">
        <v>27</v>
      </c>
      <c r="J15" s="7" t="s">
        <v>20</v>
      </c>
      <c r="K15" s="13" t="s">
        <v>21</v>
      </c>
      <c r="L15" s="13"/>
      <c r="M15" s="13"/>
      <c r="N15" t="s">
        <v>22</v>
      </c>
      <c r="O15" t="s">
        <v>26</v>
      </c>
      <c r="U15" s="9">
        <f t="shared" si="2"/>
        <v>905.75</v>
      </c>
      <c r="W15" s="10">
        <f t="shared" si="0"/>
        <v>905.875</v>
      </c>
      <c r="Y15" s="9">
        <f t="shared" si="2"/>
        <v>907</v>
      </c>
      <c r="AA15" s="10">
        <f t="shared" si="1"/>
        <v>907.125</v>
      </c>
      <c r="AC15" s="9">
        <f t="shared" si="3"/>
        <v>908.25</v>
      </c>
    </row>
    <row r="16" spans="7:30" x14ac:dyDescent="0.35">
      <c r="O16" t="s">
        <v>28</v>
      </c>
      <c r="U16" s="9">
        <f t="shared" si="2"/>
        <v>906</v>
      </c>
      <c r="W16" s="10">
        <f t="shared" si="0"/>
        <v>906.125</v>
      </c>
      <c r="Y16" s="9">
        <f t="shared" si="2"/>
        <v>907.25</v>
      </c>
      <c r="AA16" s="10">
        <f t="shared" si="1"/>
        <v>907.375</v>
      </c>
      <c r="AC16" s="9">
        <f t="shared" si="3"/>
        <v>908.5</v>
      </c>
    </row>
    <row r="17" spans="7:29" x14ac:dyDescent="0.35">
      <c r="U17" s="9"/>
      <c r="W17" s="10"/>
      <c r="Y17" s="9"/>
      <c r="AA17" s="10"/>
      <c r="AC17" s="9"/>
    </row>
    <row r="18" spans="7:29" x14ac:dyDescent="0.35">
      <c r="G18" t="s">
        <v>28</v>
      </c>
    </row>
    <row r="19" spans="7:29" x14ac:dyDescent="0.35">
      <c r="G19" t="s">
        <v>40</v>
      </c>
    </row>
    <row r="20" spans="7:29" x14ac:dyDescent="0.35">
      <c r="H20" t="s">
        <v>20</v>
      </c>
      <c r="K20" t="s">
        <v>42</v>
      </c>
      <c r="M20" t="s">
        <v>43</v>
      </c>
      <c r="V20" s="11" t="s">
        <v>59</v>
      </c>
      <c r="W20">
        <v>905</v>
      </c>
      <c r="Z20">
        <f>MOD(1,2)</f>
        <v>1</v>
      </c>
    </row>
    <row r="21" spans="7:29" x14ac:dyDescent="0.35">
      <c r="G21" t="s">
        <v>41</v>
      </c>
      <c r="H21" t="s">
        <v>54</v>
      </c>
      <c r="K21" t="s">
        <v>55</v>
      </c>
      <c r="V21" s="11" t="s">
        <v>58</v>
      </c>
      <c r="W21">
        <v>0</v>
      </c>
      <c r="Y21" s="11" t="s">
        <v>62</v>
      </c>
    </row>
    <row r="22" spans="7:29" x14ac:dyDescent="0.35">
      <c r="V22" s="11" t="s">
        <v>60</v>
      </c>
      <c r="W22">
        <v>0.25</v>
      </c>
    </row>
    <row r="23" spans="7:29" x14ac:dyDescent="0.35">
      <c r="V23" s="11"/>
    </row>
    <row r="24" spans="7:29" x14ac:dyDescent="0.35">
      <c r="G24" t="s">
        <v>45</v>
      </c>
      <c r="J24" t="s">
        <v>48</v>
      </c>
      <c r="V24" s="11" t="s">
        <v>61</v>
      </c>
      <c r="W24">
        <v>2</v>
      </c>
    </row>
    <row r="25" spans="7:29" x14ac:dyDescent="0.35">
      <c r="G25">
        <v>1</v>
      </c>
      <c r="H25" t="s">
        <v>43</v>
      </c>
      <c r="J25" t="s">
        <v>49</v>
      </c>
    </row>
    <row r="26" spans="7:29" x14ac:dyDescent="0.35">
      <c r="G26">
        <v>2</v>
      </c>
      <c r="H26" t="s">
        <v>46</v>
      </c>
      <c r="J26" t="s">
        <v>50</v>
      </c>
      <c r="V26" s="11"/>
      <c r="W26">
        <f>W20</f>
        <v>905</v>
      </c>
    </row>
    <row r="27" spans="7:29" x14ac:dyDescent="0.35">
      <c r="G27">
        <v>3</v>
      </c>
      <c r="H27" t="s">
        <v>47</v>
      </c>
      <c r="J27" t="s">
        <v>51</v>
      </c>
      <c r="W27">
        <f>4+1</f>
        <v>5</v>
      </c>
    </row>
    <row r="28" spans="7:29" x14ac:dyDescent="0.35">
      <c r="G28">
        <v>4</v>
      </c>
      <c r="H28" t="s">
        <v>44</v>
      </c>
      <c r="W28">
        <f>W27*W22</f>
        <v>1.25</v>
      </c>
    </row>
    <row r="29" spans="7:29" x14ac:dyDescent="0.35">
      <c r="V29" s="11" t="s">
        <v>63</v>
      </c>
      <c r="W29">
        <f>W28*W24</f>
        <v>2.5</v>
      </c>
    </row>
    <row r="30" spans="7:29" x14ac:dyDescent="0.35">
      <c r="N30" t="s">
        <v>68</v>
      </c>
      <c r="P30">
        <v>5</v>
      </c>
      <c r="V30" s="11" t="s">
        <v>64</v>
      </c>
      <c r="W30">
        <f>W29+W26</f>
        <v>907.5</v>
      </c>
    </row>
    <row r="31" spans="7:29" x14ac:dyDescent="0.35">
      <c r="N31" t="s">
        <v>66</v>
      </c>
      <c r="O31" t="s">
        <v>67</v>
      </c>
      <c r="W31">
        <f>W21*W22</f>
        <v>0</v>
      </c>
    </row>
    <row r="32" spans="7:29" x14ac:dyDescent="0.35">
      <c r="N32">
        <v>0</v>
      </c>
      <c r="O32">
        <f>4+0.15*$P$30</f>
        <v>4.75</v>
      </c>
      <c r="P32">
        <v>3.3</v>
      </c>
      <c r="Q32">
        <f>P32*O32*0.05</f>
        <v>0.78374999999999995</v>
      </c>
      <c r="W32">
        <f>1+MOD(W24,2)</f>
        <v>1</v>
      </c>
    </row>
    <row r="33" spans="13:23" x14ac:dyDescent="0.35">
      <c r="N33">
        <f>N32+0.05</f>
        <v>0.05</v>
      </c>
      <c r="O33">
        <f t="shared" ref="O33:O38" si="4">4+0.15*$P$30</f>
        <v>4.75</v>
      </c>
      <c r="P33">
        <v>3.3</v>
      </c>
      <c r="Q33">
        <f t="shared" ref="Q33:Q50" si="5">P33*O33*0.05</f>
        <v>0.78374999999999995</v>
      </c>
      <c r="V33" s="11" t="s">
        <v>63</v>
      </c>
      <c r="W33">
        <f>W31/W32</f>
        <v>0</v>
      </c>
    </row>
    <row r="34" spans="13:23" x14ac:dyDescent="0.35">
      <c r="N34">
        <f t="shared" ref="N34:N50" si="6">N33+0.05</f>
        <v>0.1</v>
      </c>
      <c r="O34">
        <f t="shared" si="4"/>
        <v>4.75</v>
      </c>
      <c r="P34">
        <v>3.3</v>
      </c>
      <c r="Q34">
        <f t="shared" si="5"/>
        <v>0.78374999999999995</v>
      </c>
      <c r="V34" s="11" t="s">
        <v>65</v>
      </c>
      <c r="W34">
        <f>W30+W33</f>
        <v>907.5</v>
      </c>
    </row>
    <row r="35" spans="13:23" x14ac:dyDescent="0.35">
      <c r="N35">
        <f t="shared" si="6"/>
        <v>0.15000000000000002</v>
      </c>
      <c r="O35">
        <f t="shared" si="4"/>
        <v>4.75</v>
      </c>
      <c r="P35">
        <v>3.3</v>
      </c>
      <c r="Q35">
        <f t="shared" si="5"/>
        <v>0.78374999999999995</v>
      </c>
    </row>
    <row r="36" spans="13:23" x14ac:dyDescent="0.35">
      <c r="N36">
        <f t="shared" si="6"/>
        <v>0.2</v>
      </c>
      <c r="O36">
        <f t="shared" si="4"/>
        <v>4.75</v>
      </c>
      <c r="P36">
        <v>3.3</v>
      </c>
      <c r="Q36">
        <f t="shared" si="5"/>
        <v>0.78374999999999995</v>
      </c>
    </row>
    <row r="37" spans="13:23" x14ac:dyDescent="0.35">
      <c r="N37">
        <f t="shared" si="6"/>
        <v>0.25</v>
      </c>
      <c r="O37">
        <f t="shared" si="4"/>
        <v>4.75</v>
      </c>
      <c r="P37">
        <v>3.3</v>
      </c>
      <c r="Q37">
        <f t="shared" si="5"/>
        <v>0.78374999999999995</v>
      </c>
    </row>
    <row r="38" spans="13:23" x14ac:dyDescent="0.35">
      <c r="N38">
        <f t="shared" si="6"/>
        <v>0.3</v>
      </c>
      <c r="O38">
        <f t="shared" si="4"/>
        <v>4.75</v>
      </c>
      <c r="P38">
        <v>3.3</v>
      </c>
      <c r="Q38">
        <f t="shared" si="5"/>
        <v>0.78374999999999995</v>
      </c>
    </row>
    <row r="39" spans="13:23" x14ac:dyDescent="0.35">
      <c r="M39">
        <f>N39+0.5</f>
        <v>0.85</v>
      </c>
      <c r="N39">
        <f t="shared" si="6"/>
        <v>0.35</v>
      </c>
      <c r="O39">
        <f>120*$P$30 +4</f>
        <v>604</v>
      </c>
      <c r="P39">
        <v>3.3</v>
      </c>
      <c r="Q39">
        <f t="shared" si="5"/>
        <v>99.66</v>
      </c>
    </row>
    <row r="40" spans="13:23" x14ac:dyDescent="0.35">
      <c r="N40">
        <f t="shared" si="6"/>
        <v>0.39999999999999997</v>
      </c>
      <c r="O40">
        <f t="shared" ref="O40:O50" si="7">120*$P$30 +4</f>
        <v>604</v>
      </c>
      <c r="P40">
        <v>3.3</v>
      </c>
      <c r="Q40">
        <f t="shared" si="5"/>
        <v>99.66</v>
      </c>
    </row>
    <row r="41" spans="13:23" x14ac:dyDescent="0.35">
      <c r="N41">
        <f t="shared" si="6"/>
        <v>0.44999999999999996</v>
      </c>
      <c r="O41">
        <f t="shared" si="7"/>
        <v>604</v>
      </c>
      <c r="P41">
        <v>3.3</v>
      </c>
      <c r="Q41">
        <f t="shared" si="5"/>
        <v>99.66</v>
      </c>
    </row>
    <row r="42" spans="13:23" x14ac:dyDescent="0.35">
      <c r="N42">
        <f t="shared" si="6"/>
        <v>0.49999999999999994</v>
      </c>
      <c r="O42">
        <f t="shared" si="7"/>
        <v>604</v>
      </c>
      <c r="P42">
        <v>3.3</v>
      </c>
      <c r="Q42">
        <f t="shared" si="5"/>
        <v>99.66</v>
      </c>
    </row>
    <row r="43" spans="13:23" x14ac:dyDescent="0.35">
      <c r="N43">
        <f t="shared" si="6"/>
        <v>0.54999999999999993</v>
      </c>
      <c r="O43">
        <f t="shared" si="7"/>
        <v>604</v>
      </c>
      <c r="P43">
        <v>3.3</v>
      </c>
      <c r="Q43">
        <f t="shared" si="5"/>
        <v>99.66</v>
      </c>
    </row>
    <row r="44" spans="13:23" x14ac:dyDescent="0.35">
      <c r="N44">
        <f t="shared" si="6"/>
        <v>0.6</v>
      </c>
      <c r="O44">
        <f t="shared" si="7"/>
        <v>604</v>
      </c>
      <c r="P44">
        <v>3.3</v>
      </c>
      <c r="Q44">
        <f t="shared" si="5"/>
        <v>99.66</v>
      </c>
    </row>
    <row r="45" spans="13:23" x14ac:dyDescent="0.35">
      <c r="N45">
        <f t="shared" si="6"/>
        <v>0.65</v>
      </c>
      <c r="O45">
        <f t="shared" si="7"/>
        <v>604</v>
      </c>
      <c r="P45">
        <v>3.3</v>
      </c>
      <c r="Q45">
        <f t="shared" si="5"/>
        <v>99.66</v>
      </c>
    </row>
    <row r="46" spans="13:23" x14ac:dyDescent="0.35">
      <c r="N46">
        <f t="shared" si="6"/>
        <v>0.70000000000000007</v>
      </c>
      <c r="O46">
        <f t="shared" si="7"/>
        <v>604</v>
      </c>
      <c r="P46">
        <v>3.3</v>
      </c>
      <c r="Q46">
        <f t="shared" si="5"/>
        <v>99.66</v>
      </c>
      <c r="T46">
        <v>125</v>
      </c>
    </row>
    <row r="47" spans="13:23" x14ac:dyDescent="0.35">
      <c r="N47">
        <f t="shared" si="6"/>
        <v>0.75000000000000011</v>
      </c>
      <c r="O47">
        <f t="shared" si="7"/>
        <v>604</v>
      </c>
      <c r="P47">
        <v>3.3</v>
      </c>
      <c r="Q47">
        <f t="shared" si="5"/>
        <v>99.66</v>
      </c>
      <c r="T47">
        <f>125/5</f>
        <v>25</v>
      </c>
      <c r="V47">
        <f>T46-T47</f>
        <v>100</v>
      </c>
      <c r="W47">
        <f>V47/T46</f>
        <v>0.8</v>
      </c>
    </row>
    <row r="48" spans="13:23" x14ac:dyDescent="0.35">
      <c r="N48">
        <f t="shared" si="6"/>
        <v>0.80000000000000016</v>
      </c>
      <c r="O48">
        <f t="shared" si="7"/>
        <v>604</v>
      </c>
      <c r="P48">
        <v>3.3</v>
      </c>
      <c r="Q48">
        <f t="shared" si="5"/>
        <v>99.66</v>
      </c>
    </row>
    <row r="49" spans="14:26" x14ac:dyDescent="0.35">
      <c r="N49">
        <f t="shared" si="6"/>
        <v>0.8500000000000002</v>
      </c>
      <c r="O49">
        <f t="shared" si="7"/>
        <v>604</v>
      </c>
      <c r="P49">
        <v>3.3</v>
      </c>
      <c r="Q49">
        <f t="shared" si="5"/>
        <v>99.66</v>
      </c>
    </row>
    <row r="50" spans="14:26" x14ac:dyDescent="0.35">
      <c r="N50">
        <f t="shared" si="6"/>
        <v>0.90000000000000024</v>
      </c>
      <c r="O50">
        <f t="shared" si="7"/>
        <v>604</v>
      </c>
      <c r="P50">
        <v>3.3</v>
      </c>
      <c r="Q50">
        <f t="shared" si="5"/>
        <v>99.66</v>
      </c>
      <c r="S50">
        <f>60000/240</f>
        <v>250</v>
      </c>
    </row>
    <row r="51" spans="14:26" x14ac:dyDescent="0.35">
      <c r="N51">
        <f t="shared" ref="N51:N53" si="8">N50+0.05</f>
        <v>0.95000000000000029</v>
      </c>
      <c r="O51">
        <f t="shared" ref="O51:O53" si="9">4+0.15*$P$30</f>
        <v>4.75</v>
      </c>
      <c r="P51">
        <v>3.3</v>
      </c>
      <c r="Q51">
        <f t="shared" ref="Q51:Q53" si="10">P51*O51*0.05</f>
        <v>0.78374999999999995</v>
      </c>
      <c r="V51" t="s">
        <v>1</v>
      </c>
      <c r="W51" t="s">
        <v>69</v>
      </c>
    </row>
    <row r="52" spans="14:26" x14ac:dyDescent="0.35">
      <c r="N52">
        <f t="shared" si="8"/>
        <v>1.0000000000000002</v>
      </c>
      <c r="O52">
        <f t="shared" si="9"/>
        <v>4.75</v>
      </c>
      <c r="P52">
        <v>3.3</v>
      </c>
      <c r="Q52">
        <f t="shared" si="10"/>
        <v>0.78374999999999995</v>
      </c>
      <c r="V52">
        <v>1</v>
      </c>
      <c r="W52">
        <v>63.1</v>
      </c>
      <c r="Y52">
        <f>W52-W56</f>
        <v>2.8999999999999986</v>
      </c>
      <c r="Z52">
        <f>Y52/W52*100</f>
        <v>4.5958795562599031</v>
      </c>
    </row>
    <row r="53" spans="14:26" x14ac:dyDescent="0.35">
      <c r="N53">
        <f t="shared" si="8"/>
        <v>1.0500000000000003</v>
      </c>
      <c r="O53">
        <f t="shared" si="9"/>
        <v>4.75</v>
      </c>
      <c r="P53">
        <v>3.3</v>
      </c>
      <c r="Q53">
        <f t="shared" si="10"/>
        <v>0.78374999999999995</v>
      </c>
      <c r="S53" t="s">
        <v>69</v>
      </c>
      <c r="V53">
        <v>2</v>
      </c>
      <c r="W53">
        <v>61.3</v>
      </c>
    </row>
    <row r="54" spans="14:26" x14ac:dyDescent="0.35">
      <c r="Q54">
        <f>SUM(Q32:Q53)</f>
        <v>1203.7574999999999</v>
      </c>
      <c r="S54">
        <f>ROUNDUP(Q54*250/$P$30/1000,1)</f>
        <v>60.2</v>
      </c>
      <c r="V54">
        <v>3</v>
      </c>
      <c r="W54">
        <v>60.7</v>
      </c>
    </row>
    <row r="55" spans="14:26" x14ac:dyDescent="0.35">
      <c r="V55">
        <v>4</v>
      </c>
      <c r="W55">
        <v>60.4</v>
      </c>
    </row>
    <row r="56" spans="14:26" x14ac:dyDescent="0.35">
      <c r="V56">
        <v>5</v>
      </c>
      <c r="W56">
        <v>60.2</v>
      </c>
    </row>
    <row r="80" spans="17:19" x14ac:dyDescent="0.35">
      <c r="Q80">
        <f>SUM(Q58:Q79)</f>
        <v>0</v>
      </c>
      <c r="S80">
        <f>Q80*125</f>
        <v>0</v>
      </c>
    </row>
  </sheetData>
  <mergeCells count="1">
    <mergeCell ref="K15:M15"/>
  </mergeCells>
  <pageMargins left="0.70078740157480324" right="0.70078740157480324" top="0.75196850393700787" bottom="0.75196850393700787" header="0.3" footer="0.3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D7CCB-CDB8-4BF9-9B86-84BE0CAB6268}">
  <dimension ref="D1:W33"/>
  <sheetViews>
    <sheetView tabSelected="1" topLeftCell="B1" workbookViewId="0">
      <selection activeCell="L4" sqref="L4"/>
    </sheetView>
  </sheetViews>
  <sheetFormatPr defaultRowHeight="14.5" x14ac:dyDescent="0.35"/>
  <sheetData>
    <row r="1" spans="4:19" x14ac:dyDescent="0.35">
      <c r="K1" t="s">
        <v>71</v>
      </c>
      <c r="L1">
        <v>30</v>
      </c>
      <c r="M1" t="s">
        <v>72</v>
      </c>
    </row>
    <row r="4" spans="4:19" x14ac:dyDescent="0.35">
      <c r="D4">
        <v>927.625</v>
      </c>
      <c r="I4">
        <f>ROUNDUP(L1/(L5*240/1000),0)</f>
        <v>32</v>
      </c>
      <c r="K4" t="s">
        <v>73</v>
      </c>
      <c r="L4">
        <v>50</v>
      </c>
      <c r="N4">
        <f>L4*240*L5</f>
        <v>48000</v>
      </c>
    </row>
    <row r="5" spans="4:19" x14ac:dyDescent="0.35">
      <c r="D5">
        <f>D4-L6</f>
        <v>25.125</v>
      </c>
      <c r="K5" t="s">
        <v>74</v>
      </c>
      <c r="L5">
        <v>4</v>
      </c>
    </row>
    <row r="6" spans="4:19" x14ac:dyDescent="0.35">
      <c r="D6">
        <f>D5*1000/L5/L7</f>
        <v>25.125</v>
      </c>
      <c r="K6" t="s">
        <v>59</v>
      </c>
      <c r="L6">
        <v>902.5</v>
      </c>
      <c r="P6" t="s">
        <v>75</v>
      </c>
      <c r="Q6" t="s">
        <v>76</v>
      </c>
    </row>
    <row r="7" spans="4:19" x14ac:dyDescent="0.35">
      <c r="D7">
        <f>ROUNDDOWN(D6,0)*2+1</f>
        <v>51</v>
      </c>
      <c r="K7" t="s">
        <v>77</v>
      </c>
      <c r="L7">
        <v>250</v>
      </c>
      <c r="P7">
        <v>0.5</v>
      </c>
      <c r="Q7">
        <f>240*5</f>
        <v>1200</v>
      </c>
    </row>
    <row r="9" spans="4:19" x14ac:dyDescent="0.35">
      <c r="K9" t="s">
        <v>78</v>
      </c>
      <c r="L9">
        <f>ROUNDDOWN((L4-1)/2,0)</f>
        <v>24</v>
      </c>
    </row>
    <row r="10" spans="4:19" x14ac:dyDescent="0.35">
      <c r="P10">
        <f>Q10*P7/Q7</f>
        <v>25</v>
      </c>
      <c r="Q10">
        <v>60000</v>
      </c>
    </row>
    <row r="11" spans="4:19" x14ac:dyDescent="0.35">
      <c r="L11">
        <f>L9*L5*L7/1000+L6</f>
        <v>926.5</v>
      </c>
      <c r="R11" t="s">
        <v>82</v>
      </c>
      <c r="S11" s="12">
        <v>140000</v>
      </c>
    </row>
    <row r="12" spans="4:19" x14ac:dyDescent="0.35">
      <c r="S12">
        <f>ROUNDUP(S11/(5*240),0)</f>
        <v>117</v>
      </c>
    </row>
    <row r="13" spans="4:19" x14ac:dyDescent="0.35">
      <c r="L13">
        <f>IF(ISEVEN(L4),L7/2000,)</f>
        <v>0.125</v>
      </c>
    </row>
    <row r="15" spans="4:19" x14ac:dyDescent="0.35">
      <c r="L15">
        <f>L11+L13</f>
        <v>926.625</v>
      </c>
      <c r="N15">
        <v>927.5</v>
      </c>
    </row>
    <row r="17" spans="4:23" x14ac:dyDescent="0.35">
      <c r="L17">
        <f>(L5-1)*L7/1000</f>
        <v>0.75</v>
      </c>
      <c r="R17" t="s">
        <v>81</v>
      </c>
      <c r="S17" t="s">
        <v>80</v>
      </c>
      <c r="V17" t="s">
        <v>81</v>
      </c>
      <c r="W17" t="s">
        <v>80</v>
      </c>
    </row>
    <row r="18" spans="4:23" x14ac:dyDescent="0.35">
      <c r="R18">
        <v>16</v>
      </c>
      <c r="S18">
        <v>40</v>
      </c>
      <c r="V18">
        <v>14.256</v>
      </c>
      <c r="W18">
        <v>36</v>
      </c>
    </row>
    <row r="19" spans="4:23" x14ac:dyDescent="0.35">
      <c r="L19">
        <f>L17+L15</f>
        <v>927.375</v>
      </c>
      <c r="R19">
        <v>16</v>
      </c>
      <c r="S19">
        <v>40</v>
      </c>
      <c r="V19">
        <v>14.256</v>
      </c>
      <c r="W19">
        <v>36</v>
      </c>
    </row>
    <row r="20" spans="4:23" x14ac:dyDescent="0.35">
      <c r="R20">
        <v>14.8</v>
      </c>
      <c r="S20">
        <v>37</v>
      </c>
      <c r="V20">
        <v>14.256</v>
      </c>
      <c r="W20">
        <v>36</v>
      </c>
    </row>
    <row r="21" spans="4:23" x14ac:dyDescent="0.35">
      <c r="V21">
        <v>3.4319999999999999</v>
      </c>
      <c r="W21">
        <v>9</v>
      </c>
    </row>
    <row r="22" spans="4:23" x14ac:dyDescent="0.35">
      <c r="L22">
        <f>L4*0.4</f>
        <v>20</v>
      </c>
      <c r="M22" t="s">
        <v>79</v>
      </c>
    </row>
    <row r="23" spans="4:23" x14ac:dyDescent="0.35">
      <c r="D23" t="s">
        <v>72</v>
      </c>
      <c r="E23" t="s">
        <v>85</v>
      </c>
      <c r="F23" t="s">
        <v>83</v>
      </c>
      <c r="G23" t="s">
        <v>84</v>
      </c>
    </row>
    <row r="24" spans="4:23" x14ac:dyDescent="0.35">
      <c r="D24">
        <v>30</v>
      </c>
      <c r="E24">
        <v>177.21</v>
      </c>
      <c r="F24">
        <v>88.01</v>
      </c>
      <c r="G24">
        <v>10</v>
      </c>
    </row>
    <row r="25" spans="4:23" x14ac:dyDescent="0.35">
      <c r="D25">
        <v>140</v>
      </c>
      <c r="E25">
        <v>1202.4000000000001</v>
      </c>
      <c r="F25">
        <v>591.49</v>
      </c>
      <c r="G25">
        <v>54.67</v>
      </c>
    </row>
    <row r="27" spans="4:23" x14ac:dyDescent="0.35">
      <c r="D27">
        <f>D25/D24</f>
        <v>4.666666666666667</v>
      </c>
      <c r="E27">
        <f t="shared" ref="E27:G27" si="0">E25/E24</f>
        <v>6.7851701371254443</v>
      </c>
      <c r="F27">
        <f t="shared" si="0"/>
        <v>6.7207135552778094</v>
      </c>
      <c r="G27">
        <f t="shared" si="0"/>
        <v>5.4670000000000005</v>
      </c>
    </row>
    <row r="28" spans="4:23" x14ac:dyDescent="0.35">
      <c r="R28">
        <f>SUM(R18:R26)</f>
        <v>46.8</v>
      </c>
      <c r="S28">
        <f>SUM(S18:S26)</f>
        <v>117</v>
      </c>
      <c r="V28">
        <f>SUM(V18:V26)</f>
        <v>46.2</v>
      </c>
      <c r="W28">
        <f>SUM(W18:W26)</f>
        <v>117</v>
      </c>
    </row>
    <row r="30" spans="4:23" x14ac:dyDescent="0.35">
      <c r="R30">
        <f>20-0.4*S18</f>
        <v>4</v>
      </c>
      <c r="V30">
        <f>20-0.4*W18</f>
        <v>5.6</v>
      </c>
    </row>
    <row r="32" spans="4:23" x14ac:dyDescent="0.35">
      <c r="P32">
        <f>R30+R20</f>
        <v>18.8</v>
      </c>
      <c r="R32">
        <f>R28+R30*2</f>
        <v>54.8</v>
      </c>
      <c r="V32">
        <f>V28+V30*3</f>
        <v>63</v>
      </c>
    </row>
    <row r="33" spans="16:16" x14ac:dyDescent="0.35">
      <c r="P33">
        <f>P32*3</f>
        <v>56.400000000000006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D2:Q23"/>
  <sheetViews>
    <sheetView workbookViewId="0">
      <selection activeCell="M20" sqref="M20"/>
    </sheetView>
  </sheetViews>
  <sheetFormatPr defaultRowHeight="14.5" x14ac:dyDescent="0.35"/>
  <cols>
    <col min="1" max="3" width="9.1796875" customWidth="1"/>
    <col min="4" max="4" width="44.54296875" bestFit="1" customWidth="1"/>
    <col min="5" max="5" width="11" bestFit="1" customWidth="1"/>
    <col min="6" max="7" width="9.1796875" customWidth="1"/>
    <col min="8" max="8" width="10.26953125" bestFit="1" customWidth="1"/>
    <col min="9" max="17" width="9.1796875" customWidth="1"/>
    <col min="18" max="18" width="24.1796875" bestFit="1" customWidth="1"/>
    <col min="19" max="19" width="9.1796875" customWidth="1"/>
  </cols>
  <sheetData>
    <row r="2" spans="4:17" x14ac:dyDescent="0.35">
      <c r="D2" t="s">
        <v>29</v>
      </c>
    </row>
    <row r="3" spans="4:17" x14ac:dyDescent="0.35">
      <c r="P3">
        <f>E8</f>
        <v>65536</v>
      </c>
      <c r="Q3">
        <f>E11</f>
        <v>8192000</v>
      </c>
    </row>
    <row r="4" spans="4:17" x14ac:dyDescent="0.35">
      <c r="D4" t="s">
        <v>30</v>
      </c>
      <c r="E4" s="8">
        <v>80</v>
      </c>
      <c r="F4" t="s">
        <v>31</v>
      </c>
      <c r="P4">
        <f>P3*Q4/Q3</f>
        <v>0.4</v>
      </c>
      <c r="Q4">
        <v>50</v>
      </c>
    </row>
    <row r="6" spans="4:17" x14ac:dyDescent="0.35">
      <c r="D6" t="s">
        <v>32</v>
      </c>
      <c r="E6" s="8">
        <v>10000</v>
      </c>
      <c r="F6" t="str">
        <f>"Put "&amp;E6&amp;"-1 in Cube MX"</f>
        <v>Put 10000-1 in Cube MX</v>
      </c>
    </row>
    <row r="8" spans="4:17" x14ac:dyDescent="0.35">
      <c r="D8" t="s">
        <v>33</v>
      </c>
      <c r="E8" s="8">
        <v>65536</v>
      </c>
      <c r="F8" t="str">
        <f>"Put "&amp;E8&amp;"-1 in Cube MX"</f>
        <v>Put 65536-1 in Cube MX</v>
      </c>
      <c r="K8" t="str">
        <f>"Counter goes from from 0 to "&amp;E8-1</f>
        <v>Counter goes from from 0 to 65535</v>
      </c>
    </row>
    <row r="10" spans="4:17" x14ac:dyDescent="0.35">
      <c r="D10" t="s">
        <v>34</v>
      </c>
      <c r="E10">
        <f>E6/E4</f>
        <v>125</v>
      </c>
      <c r="F10" t="s">
        <v>35</v>
      </c>
      <c r="H10">
        <f>E4*1000000/E6</f>
        <v>8000</v>
      </c>
    </row>
    <row r="11" spans="4:17" x14ac:dyDescent="0.35">
      <c r="D11" t="str">
        <f>"Time taken to go from 0 to "&amp;E8-1</f>
        <v>Time taken to go from 0 to 65535</v>
      </c>
      <c r="E11">
        <f>E10*E8</f>
        <v>8192000</v>
      </c>
      <c r="F11" t="s">
        <v>35</v>
      </c>
    </row>
    <row r="12" spans="4:17" x14ac:dyDescent="0.35">
      <c r="D12" t="str">
        <f>D11</f>
        <v>Time taken to go from 0 to 65535</v>
      </c>
      <c r="E12">
        <f>E11/1000</f>
        <v>8192</v>
      </c>
      <c r="F12" t="s">
        <v>36</v>
      </c>
    </row>
    <row r="14" spans="4:17" x14ac:dyDescent="0.35">
      <c r="E14">
        <v>0.1</v>
      </c>
      <c r="F14" t="s">
        <v>37</v>
      </c>
    </row>
    <row r="16" spans="4:17" x14ac:dyDescent="0.35">
      <c r="E16">
        <f>E14/E10*1000000</f>
        <v>800</v>
      </c>
      <c r="H16" t="s">
        <v>38</v>
      </c>
      <c r="J16" t="s">
        <v>39</v>
      </c>
    </row>
    <row r="18" spans="5:8" x14ac:dyDescent="0.35">
      <c r="E18">
        <f>E16*E10/1000000</f>
        <v>0.1</v>
      </c>
    </row>
    <row r="22" spans="5:8" x14ac:dyDescent="0.35">
      <c r="H22">
        <v>25528</v>
      </c>
    </row>
    <row r="23" spans="5:8" x14ac:dyDescent="0.35">
      <c r="H23">
        <v>4000</v>
      </c>
    </row>
  </sheetData>
  <conditionalFormatting sqref="E31">
    <cfRule type="expression" dxfId="0" priority="1">
      <formula>OR($E$31&gt;65536,$E$31&lt;1)</formula>
    </cfRule>
  </conditionalFormatting>
  <pageMargins left="0.70078740157480324" right="0.70078740157480324" top="0.75196850393700787" bottom="0.75196850393700787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RX_TX_Timing</vt:lpstr>
      <vt:lpstr>Sheet2</vt:lpstr>
      <vt:lpstr>TIM16_Config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De, Soumadeep</cp:lastModifiedBy>
  <cp:revision>3</cp:revision>
  <dcterms:modified xsi:type="dcterms:W3CDTF">2025-09-26T18:32:25Z</dcterms:modified>
</cp:coreProperties>
</file>