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9"/>
  </bookViews>
  <sheets>
    <sheet name="SAISE" sheetId="1" state="visible" r:id="rId1"/>
    <sheet name="ADC_Config" sheetId="2" state="hidden" r:id="rId2"/>
    <sheet name="Calc" sheetId="3" state="hidden" r:id="rId3"/>
    <sheet name="SX1276_LoRa_REG_MAP" sheetId="4" state="visible" r:id="rId4"/>
    <sheet name="SX1276_FSK_OOK_REG_MAP" sheetId="5" state="hidden" r:id="rId5"/>
    <sheet name="SX1276_RegOpMode" sheetId="6" state="visible" r:id="rId6"/>
    <sheet name="SX1276_RegPaConfig" sheetId="7" state="visible" r:id="rId7"/>
    <sheet name="SX1276_RegModemConfig1" sheetId="8" state="visible" r:id="rId8"/>
    <sheet name="SX1276_RegModemConfig2" sheetId="9" state="visible" r:id="rId9"/>
    <sheet name="Sheet1" sheetId="10" state="visible" r:id="rId10"/>
    <sheet name="DropDown" sheetId="11" state="hidden" r:id="rId1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<sst xmlns="http://schemas.openxmlformats.org/spreadsheetml/2006/main" count="277" uniqueCount="277">
  <si>
    <t xml:space="preserve">8 Bit config</t>
  </si>
  <si>
    <t>Bit7</t>
  </si>
  <si>
    <t>Bit6</t>
  </si>
  <si>
    <t>Bit5</t>
  </si>
  <si>
    <t>Bit4</t>
  </si>
  <si>
    <t>Bit3</t>
  </si>
  <si>
    <t>Bit2</t>
  </si>
  <si>
    <t>Bit1</t>
  </si>
  <si>
    <t>Bit0</t>
  </si>
  <si>
    <t>Hex</t>
  </si>
  <si>
    <t>Dec</t>
  </si>
  <si>
    <t xml:space="preserve">ADCON0 Register</t>
  </si>
  <si>
    <t xml:space="preserve">Coomon Code Name</t>
  </si>
  <si>
    <t>ADC</t>
  </si>
  <si>
    <t xml:space="preserve">Common Part of Code</t>
  </si>
  <si>
    <t xml:space="preserve"># define</t>
  </si>
  <si>
    <t>ADCS1</t>
  </si>
  <si>
    <t>ADCS0</t>
  </si>
  <si>
    <t>CHS2</t>
  </si>
  <si>
    <t>CHS1</t>
  </si>
  <si>
    <t>CHS0</t>
  </si>
  <si>
    <t>G0/DONE</t>
  </si>
  <si>
    <t>-</t>
  </si>
  <si>
    <t>ADON</t>
  </si>
  <si>
    <t xml:space="preserve">Hex part</t>
  </si>
  <si>
    <t>0x</t>
  </si>
  <si>
    <t xml:space="preserve">Config1 - Select ADCS1:ADCS0</t>
  </si>
  <si>
    <t>BIN</t>
  </si>
  <si>
    <t>HEX</t>
  </si>
  <si>
    <t>DEC</t>
  </si>
  <si>
    <t>Function</t>
  </si>
  <si>
    <t>CodeName</t>
  </si>
  <si>
    <t>Code</t>
  </si>
  <si>
    <t>Fosc_2</t>
  </si>
  <si>
    <t>Fosc_8</t>
  </si>
  <si>
    <t>Fosc_32</t>
  </si>
  <si>
    <t>FRC</t>
  </si>
  <si>
    <t>Fosc_4</t>
  </si>
  <si>
    <t>Fosc_16</t>
  </si>
  <si>
    <t>Fosc_64</t>
  </si>
  <si>
    <t xml:space="preserve">Config2 - Select CHS2:CHS0</t>
  </si>
  <si>
    <t>AN0</t>
  </si>
  <si>
    <t>AN1</t>
  </si>
  <si>
    <t>AN2</t>
  </si>
  <si>
    <t>AN3</t>
  </si>
  <si>
    <t>AN4</t>
  </si>
  <si>
    <t>AN5</t>
  </si>
  <si>
    <t>AN6</t>
  </si>
  <si>
    <t>AN7</t>
  </si>
  <si>
    <t xml:space="preserve">ADC ON and OFF</t>
  </si>
  <si>
    <t>OFF</t>
  </si>
  <si>
    <t>ON</t>
  </si>
  <si>
    <t xml:space="preserve">ADC GO</t>
  </si>
  <si>
    <t>Start_Conversion</t>
  </si>
  <si>
    <t xml:space="preserve">ADCON1 Register</t>
  </si>
  <si>
    <t>ADFM</t>
  </si>
  <si>
    <t>ADCS2</t>
  </si>
  <si>
    <t>PCFG3</t>
  </si>
  <si>
    <t>PCFG2</t>
  </si>
  <si>
    <t>PCFG1</t>
  </si>
  <si>
    <t>PCFG0</t>
  </si>
  <si>
    <t xml:space="preserve">Config1 ADFM</t>
  </si>
  <si>
    <t>Right_Justified</t>
  </si>
  <si>
    <t>Left_Justified</t>
  </si>
  <si>
    <t xml:space="preserve">Config2 ADCS2</t>
  </si>
  <si>
    <t>Fosc_2_8_32_RC</t>
  </si>
  <si>
    <t>Fosc_4_16_64_RC</t>
  </si>
  <si>
    <t xml:space="preserve">Config3 PCFG3:PCFG0</t>
  </si>
  <si>
    <t>All_Channel_Input</t>
  </si>
  <si>
    <t xml:space="preserve">Max Voltage</t>
  </si>
  <si>
    <t>V</t>
  </si>
  <si>
    <t xml:space="preserve">Measured Voltage</t>
  </si>
  <si>
    <t xml:space="preserve">Max Resistane</t>
  </si>
  <si>
    <t xml:space="preserve">k ohms</t>
  </si>
  <si>
    <t xml:space="preserve">ADC conversion</t>
  </si>
  <si>
    <t>bits</t>
  </si>
  <si>
    <t xml:space="preserve">ADC result</t>
  </si>
  <si>
    <t>Voltage</t>
  </si>
  <si>
    <t xml:space="preserve">Meas resiatnce</t>
  </si>
  <si>
    <t>kohms</t>
  </si>
  <si>
    <t xml:space="preserve">Max Output of ADC</t>
  </si>
  <si>
    <t>A3</t>
  </si>
  <si>
    <t>Bin</t>
  </si>
  <si>
    <t>Slope</t>
  </si>
  <si>
    <t>Slope*10^5</t>
  </si>
  <si>
    <t>VM</t>
  </si>
  <si>
    <t>GND</t>
  </si>
  <si>
    <t xml:space="preserve">Offset measured</t>
  </si>
  <si>
    <t>bin</t>
  </si>
  <si>
    <t>dec</t>
  </si>
  <si>
    <t>hex</t>
  </si>
  <si>
    <t xml:space="preserve">should be</t>
  </si>
  <si>
    <t>offset</t>
  </si>
  <si>
    <t>SX1276_LoRa_REG</t>
  </si>
  <si>
    <t>#define</t>
  </si>
  <si>
    <t>FIFO</t>
  </si>
  <si>
    <t>OP_MODE</t>
  </si>
  <si>
    <t>FR_MSB</t>
  </si>
  <si>
    <t>FR_MID</t>
  </si>
  <si>
    <t>FR_LSB</t>
  </si>
  <si>
    <t>PA_CONFIG</t>
  </si>
  <si>
    <t>PA_RAMP</t>
  </si>
  <si>
    <t>OCP</t>
  </si>
  <si>
    <t>LNA</t>
  </si>
  <si>
    <t>FIFO_ADDR_PTR</t>
  </si>
  <si>
    <t>FIFO_TX_BASE_ADDR</t>
  </si>
  <si>
    <t>FIFO_RX_BASE_ADDR</t>
  </si>
  <si>
    <t>FIFO_RX_CURRENT_ADDR</t>
  </si>
  <si>
    <t>IRQ_FLAGS_MASK</t>
  </si>
  <si>
    <t>IRQ_FLAGS</t>
  </si>
  <si>
    <t>RX_NB_BYTES</t>
  </si>
  <si>
    <t>RX_HEADER_CNT_VALUE_MSB</t>
  </si>
  <si>
    <t>RX_HEADER_CNT_VALUE_LSB</t>
  </si>
  <si>
    <t>RX_PACKET_CNT_VALUE_MSB</t>
  </si>
  <si>
    <t>RX_PACKET_CNT_VALUE_LSB</t>
  </si>
  <si>
    <t>MODEM_STAT</t>
  </si>
  <si>
    <t>PKT_SNR_VALUE</t>
  </si>
  <si>
    <t>PKT_RSSI_VALUE</t>
  </si>
  <si>
    <t>RSSI_VALUE</t>
  </si>
  <si>
    <t>HOP_CHANNEL</t>
  </si>
  <si>
    <t>MODEM_CONFIG_1</t>
  </si>
  <si>
    <t>MODEM_CONFIG_2</t>
  </si>
  <si>
    <t>SYMB_TIMEOUT_LSB</t>
  </si>
  <si>
    <t>SYMB_PREAMBLE_MSB</t>
  </si>
  <si>
    <t>SYMB_PREAMBLE_LSB</t>
  </si>
  <si>
    <t>PAYLOAD_LENGTH</t>
  </si>
  <si>
    <t>MAX_PAYLOAD_LENGTH</t>
  </si>
  <si>
    <t>HOP_PERIOD</t>
  </si>
  <si>
    <t>FIFO_RX_BYTE_ADDR</t>
  </si>
  <si>
    <t>MODEM_CONFIG_3</t>
  </si>
  <si>
    <t>PPM_CORRECTION</t>
  </si>
  <si>
    <t>FEI_MSB</t>
  </si>
  <si>
    <t>FEI_MID</t>
  </si>
  <si>
    <t>FEI_LSB</t>
  </si>
  <si>
    <t>RSSI_WIDEBAND</t>
  </si>
  <si>
    <t>DETECT_OPTIMIZE</t>
  </si>
  <si>
    <t>INVERT_IQ</t>
  </si>
  <si>
    <t>DETECTION_THRSEHOLD</t>
  </si>
  <si>
    <t>SYNC_WORD</t>
  </si>
  <si>
    <t>SX1276_FSK_OOK_REG</t>
  </si>
  <si>
    <t>BIT_RATE_MSB</t>
  </si>
  <si>
    <t>BIT_RATE_LSB</t>
  </si>
  <si>
    <t>F_DEV_MSB</t>
  </si>
  <si>
    <t>F_DEV_LSB</t>
  </si>
  <si>
    <t>FRF_MSB</t>
  </si>
  <si>
    <t>FRF_MID</t>
  </si>
  <si>
    <t>FRF_LSB</t>
  </si>
  <si>
    <t>RX_CONFIG</t>
  </si>
  <si>
    <t>RSSI_CONFIG</t>
  </si>
  <si>
    <t>RSSI_COLLISION</t>
  </si>
  <si>
    <t>RSSI_THRESH</t>
  </si>
  <si>
    <t>RX_BW</t>
  </si>
  <si>
    <t>AFC_BW</t>
  </si>
  <si>
    <t>OOK_PEAK</t>
  </si>
  <si>
    <t>OOK_FIX</t>
  </si>
  <si>
    <t>OOK_AVG</t>
  </si>
  <si>
    <t>AFC_FEI</t>
  </si>
  <si>
    <t>AFC_MSB</t>
  </si>
  <si>
    <t>AFC_LSB</t>
  </si>
  <si>
    <t>PREAMBLE_DETECT</t>
  </si>
  <si>
    <t>RX_TIMEOUT_1</t>
  </si>
  <si>
    <t>RX_TIMEOUT_2</t>
  </si>
  <si>
    <t>RX_TIMEOUT_3</t>
  </si>
  <si>
    <t>RX_DELAY</t>
  </si>
  <si>
    <t>REG_OSC</t>
  </si>
  <si>
    <t>PREAMBLE_MSB</t>
  </si>
  <si>
    <t>PREAMBLE_LSB</t>
  </si>
  <si>
    <t>SYNC_CONFIG</t>
  </si>
  <si>
    <t>SYNC_VALUE_1</t>
  </si>
  <si>
    <t>SYNC_VALUE_2</t>
  </si>
  <si>
    <t>SYNC_VALUE_3</t>
  </si>
  <si>
    <t>SYNC_VALUE_4</t>
  </si>
  <si>
    <t>SYNC_VALUE_5</t>
  </si>
  <si>
    <t>SYNC_VALUE_6</t>
  </si>
  <si>
    <t>SYNC_VALUE_7</t>
  </si>
  <si>
    <t>SYNC_VALUE_8</t>
  </si>
  <si>
    <t>PACKET_CONFIG_1</t>
  </si>
  <si>
    <t>PACKET_CONFIG_2</t>
  </si>
  <si>
    <t>NODE_ADDRS</t>
  </si>
  <si>
    <t>BROADCAST_ADDRS</t>
  </si>
  <si>
    <t>FIFO_THRESH</t>
  </si>
  <si>
    <t>SEQ_CONFIG_1</t>
  </si>
  <si>
    <t>SEQ_CONFIG_2</t>
  </si>
  <si>
    <t>TIMER_RESOL</t>
  </si>
  <si>
    <t>TIMER_1_COEF</t>
  </si>
  <si>
    <t>TIMER_2_COEF</t>
  </si>
  <si>
    <t>IMAGE_CAL</t>
  </si>
  <si>
    <t>TEMP</t>
  </si>
  <si>
    <t>LOW_BAT</t>
  </si>
  <si>
    <t>IRQ_FLAGS_1</t>
  </si>
  <si>
    <t>IRQ_FLAGS_2</t>
  </si>
  <si>
    <t>DIO_MAPPING_1</t>
  </si>
  <si>
    <t>DIO_MAPPING_2</t>
  </si>
  <si>
    <t>VERSION</t>
  </si>
  <si>
    <t>PLL_HOP</t>
  </si>
  <si>
    <t>TCXO</t>
  </si>
  <si>
    <t>PA_DAC</t>
  </si>
  <si>
    <t>FORMER_TEMP</t>
  </si>
  <si>
    <t>BIT_RATE_FRAC</t>
  </si>
  <si>
    <t>AGC_REF</t>
  </si>
  <si>
    <t>AGC_THRESH_1</t>
  </si>
  <si>
    <t>AGC_THRESH_2</t>
  </si>
  <si>
    <t>AGC_THRESH_3</t>
  </si>
  <si>
    <t>HFF_ADDITIONAL_REG_PLL_HF</t>
  </si>
  <si>
    <t>RegOpMode</t>
  </si>
  <si>
    <t>SX1276_LoRa</t>
  </si>
  <si>
    <t xml:space="preserve">For LoRa LongRangeMode =1, AccessSharedReg = 0</t>
  </si>
  <si>
    <t>LongRangeMode</t>
  </si>
  <si>
    <t>AccessSharedReg</t>
  </si>
  <si>
    <t>LowFrequencyModeOn</t>
  </si>
  <si>
    <t>Mode</t>
  </si>
  <si>
    <t xml:space="preserve">Select Low Frequency Mode</t>
  </si>
  <si>
    <t>REG_OP_MODE_HIGH_FREQUENCY_MODE</t>
  </si>
  <si>
    <t>REG_OP_MODE_LOW_FREQUENCY_MODE</t>
  </si>
  <si>
    <t xml:space="preserve">Set LoRa Mode</t>
  </si>
  <si>
    <t>REG_OP_MODE_SLEEP</t>
  </si>
  <si>
    <t>REG_OP_MODE_STDBY</t>
  </si>
  <si>
    <t>REG_OP_MODE_FSTX</t>
  </si>
  <si>
    <t>REG_OP_MODE_TX</t>
  </si>
  <si>
    <t>REG_OP_MODE_FSRX</t>
  </si>
  <si>
    <t>REG_OP_MODE_RXCONT</t>
  </si>
  <si>
    <t>REG_OP_MODE_RXSINGLE</t>
  </si>
  <si>
    <t>REG_OP_MODE_CAD</t>
  </si>
  <si>
    <t>RegPaConfig</t>
  </si>
  <si>
    <t xml:space="preserve">Note: PaSelect shall be always 1. Max power shall be set to set to max (0x07). We vary OutputPower parameter (actually doesnot depend on MaxPower).</t>
  </si>
  <si>
    <t>SX1276_LoRa_PA_CONFIG_OP_POWER_dBm</t>
  </si>
  <si>
    <t>PaSelect</t>
  </si>
  <si>
    <t>MaxPower</t>
  </si>
  <si>
    <t>OutputPower</t>
  </si>
  <si>
    <t xml:space="preserve">Select Output Power [dBm]</t>
  </si>
  <si>
    <t>RegModemConfig1</t>
  </si>
  <si>
    <t>SX1276_LoRa_REG_MODEM_CONFIG1</t>
  </si>
  <si>
    <t>Bandwidth</t>
  </si>
  <si>
    <t>CodingRate</t>
  </si>
  <si>
    <t>HeaderMode</t>
  </si>
  <si>
    <t>EXPLICIT=0</t>
  </si>
  <si>
    <t>BW_7_8_kHz</t>
  </si>
  <si>
    <t>BW_10_4_kHz</t>
  </si>
  <si>
    <t>BW_15_6_kHz</t>
  </si>
  <si>
    <t>BW_20_8_kHz</t>
  </si>
  <si>
    <t>BW_31_25_kHz</t>
  </si>
  <si>
    <t>BW_41_7_kHz</t>
  </si>
  <si>
    <t>BW_62_5_kHz</t>
  </si>
  <si>
    <t>BW_125_kHz</t>
  </si>
  <si>
    <t>BW_250_kHz</t>
  </si>
  <si>
    <t>BW_500_kHz</t>
  </si>
  <si>
    <t xml:space="preserve">Coding Rate</t>
  </si>
  <si>
    <t>CR_4_5</t>
  </si>
  <si>
    <t>CR_4_6</t>
  </si>
  <si>
    <t>CR_4_7</t>
  </si>
  <si>
    <t>CR_4_8</t>
  </si>
  <si>
    <t>RegModemConfig2</t>
  </si>
  <si>
    <t>SX1276_LoRa_REG_MODEM_CONFIG2</t>
  </si>
  <si>
    <t xml:space="preserve">Spread factor</t>
  </si>
  <si>
    <t>TxContineousode</t>
  </si>
  <si>
    <t>RXPayloadCRCON</t>
  </si>
  <si>
    <t>SybTImeout</t>
  </si>
  <si>
    <t>SF6</t>
  </si>
  <si>
    <t>SF7</t>
  </si>
  <si>
    <t>SF8</t>
  </si>
  <si>
    <t>SF9</t>
  </si>
  <si>
    <t>SF10</t>
  </si>
  <si>
    <t>SF11</t>
  </si>
  <si>
    <t>SF12</t>
  </si>
  <si>
    <t xml:space="preserve">Rx States</t>
  </si>
  <si>
    <t>SX1276_LoRa_Rx_STATE</t>
  </si>
  <si>
    <t>RxTimeout</t>
  </si>
  <si>
    <t>RxDone</t>
  </si>
  <si>
    <t>PayloadCrcError</t>
  </si>
  <si>
    <t>ValidHeader</t>
  </si>
  <si>
    <t>TxDone</t>
  </si>
  <si>
    <t>CadDone</t>
  </si>
  <si>
    <t>FhssChangeChannel</t>
  </si>
  <si>
    <t>CadDetected</t>
  </si>
  <si>
    <t>VALID</t>
  </si>
  <si>
    <t>Bit</t>
  </si>
  <si>
    <t xml:space="preserve">ADC conversion bits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</si>
</sst>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rgb="FF00B050"/>
      </patternFill>
    </fill>
    <fill>
      <patternFill patternType="solid">
        <fgColor rgb="FF00B0F0"/>
      </patternFill>
    </fill>
    <fill>
      <patternFill patternType="solid">
        <fgColor indexed="5"/>
        <bgColor indexed="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0" fillId="0" borderId="0" numFmtId="0" xfId="0" applyAlignment="1">
      <alignment horizontal="center"/>
    </xf>
    <xf fontId="0" fillId="2" borderId="0" numFmtId="0" xfId="0" applyFill="1"/>
    <xf fontId="0" fillId="3" borderId="0" numFmtId="0" xfId="0" applyFill="1"/>
    <xf fontId="0" fillId="4" borderId="0" numFmtId="0" xfId="0" applyFill="1"/>
    <xf fontId="0" fillId="0" borderId="0" numFmtId="0" xfId="0" applyAlignment="1">
      <alignment horizontal="left"/>
    </xf>
    <xf fontId="0" fillId="0" borderId="0" numFmtId="0" xfId="0">
      <protection hidden="0" locked="1"/>
    </xf>
    <xf fontId="0" fillId="0" borderId="0" numFmtId="0" xfId="0" applyAlignment="1">
      <alignment horizontal="center"/>
      <protection hidden="0" locked="1"/>
    </xf>
    <xf fontId="0" fillId="5" borderId="0" numFmtId="0" xfId="0" applyFill="1">
      <protection hidden="0" locked="1"/>
    </xf>
    <xf fontId="0" fillId="5" borderId="0" numFmtId="0" xfId="0" applyFill="1"/>
    <xf fontId="0" fillId="0" borderId="0" numFmtId="0" xfId="0">
      <protection hidden="0" locked="1"/>
    </xf>
    <xf fontId="0" fillId="0" borderId="0" numFmtId="0" xfId="0" applyAlignment="1">
      <alignment wrapText="1"/>
      <protection hidden="0" locked="1"/>
    </xf>
    <xf fontId="0" fillId="0" borderId="0" numFmtId="0" xfId="0" applyAlignment="1">
      <alignment wrapText="1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theme" Target="theme/theme1.xml"/><Relationship  Id="rId13" Type="http://schemas.openxmlformats.org/officeDocument/2006/relationships/sharedStrings" Target="sharedStrings.xml"/><Relationship  Id="rId14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J4" activeCellId="0" sqref="J4"/>
    </sheetView>
  </sheetViews>
  <sheetFormatPr defaultRowHeight="14.25"/>
  <cols>
    <col bestFit="1" customWidth="1" min="1" max="1" width="10.7109375"/>
  </cols>
  <sheetData>
    <row r="1">
      <c r="A1" t="s">
        <v>0</v>
      </c>
    </row>
    <row r="2"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M2" t="s">
        <v>9</v>
      </c>
      <c r="N2" t="s">
        <v>10</v>
      </c>
    </row>
    <row r="3">
      <c r="C3">
        <v>1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L3">
        <f>VALUE(C3&amp;D3&amp;E3&amp;F3&amp;G3&amp;H3&amp;I3&amp;J3)</f>
        <v>10001000</v>
      </c>
      <c r="M3" t="str">
        <f>BIN2HEX(L3)</f>
        <v>88</v>
      </c>
      <c r="N3">
        <f>BIN2DEC(L3)</f>
        <v>136</v>
      </c>
    </row>
  </sheetData>
  <dataValidations count="1" disablePrompts="0">
    <dataValidation sqref="C3:J3" type="list" allowBlank="1" errorStyle="stop" imeMode="noControl" operator="between" showDropDown="0" showErrorMessage="1" showInputMessage="1">
      <formula1>DropDown!$A$2:$A$3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1:1048576"/>
    </sheetView>
  </sheetViews>
  <sheetFormatPr defaultRowHeight="14.449999999999999"/>
  <cols>
    <col min="12" max="14" style="1" width="9.140625"/>
    <col bestFit="1" customWidth="1" min="15" max="15" width="20.5703125"/>
    <col bestFit="1" customWidth="1" min="16" max="16" width="22.5703125"/>
  </cols>
  <sheetData>
    <row r="1">
      <c r="A1" t="s">
        <v>11</v>
      </c>
      <c r="O1" t="s">
        <v>12</v>
      </c>
      <c r="P1" t="s">
        <v>13</v>
      </c>
    </row>
    <row r="2">
      <c r="O2" t="s">
        <v>14</v>
      </c>
      <c r="P2" t="s">
        <v>15</v>
      </c>
    </row>
    <row r="3"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O3" t="s">
        <v>24</v>
      </c>
      <c r="P3" t="s">
        <v>25</v>
      </c>
    </row>
    <row r="6">
      <c r="C6" t="s">
        <v>26</v>
      </c>
    </row>
    <row r="8">
      <c r="C8" t="s">
        <v>16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J8" t="s">
        <v>23</v>
      </c>
      <c r="L8" s="1" t="s">
        <v>27</v>
      </c>
      <c r="M8" s="1" t="s">
        <v>28</v>
      </c>
      <c r="N8" s="1" t="s">
        <v>29</v>
      </c>
      <c r="O8" s="1" t="s">
        <v>30</v>
      </c>
      <c r="P8" s="1" t="s">
        <v>31</v>
      </c>
      <c r="S8" s="1" t="s">
        <v>32</v>
      </c>
    </row>
    <row r="9">
      <c r="C9" s="2">
        <v>0</v>
      </c>
      <c r="D9" s="2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L9" s="1">
        <f>VALUE(C9&amp;D9&amp;E9&amp;F9&amp;G9&amp;H9&amp;I9&amp;J9)</f>
        <v>0</v>
      </c>
      <c r="M9" s="1" t="str">
        <f>BIN2HEX(L9)</f>
        <v>0</v>
      </c>
      <c r="N9" s="1">
        <f>BIN2DEC(L9)</f>
        <v>0</v>
      </c>
      <c r="O9" t="s">
        <v>33</v>
      </c>
      <c r="P9" t="str">
        <f>$P$1&amp;"_"&amp;O9</f>
        <v>ADC_Fosc_2</v>
      </c>
      <c r="S9" t="str">
        <f>$P$2&amp;" "&amp;P9&amp;" "&amp;$P$3&amp;M9</f>
        <v xml:space="preserve"># define ADC_Fosc_2 0x0</v>
      </c>
    </row>
    <row r="10">
      <c r="C10" s="2">
        <v>0</v>
      </c>
      <c r="D10" s="2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L10" s="1">
        <f t="shared" ref="L10:L66" si="0">VALUE(C10&amp;D10&amp;E10&amp;F10&amp;G10&amp;H10&amp;I10&amp;J10)</f>
        <v>1000000</v>
      </c>
      <c r="M10" s="1" t="str">
        <f t="shared" ref="M10:M66" si="1">BIN2HEX(L10)</f>
        <v>40</v>
      </c>
      <c r="N10" s="1">
        <f t="shared" ref="N10:N66" si="2">BIN2DEC(L10)</f>
        <v>64</v>
      </c>
      <c r="O10" t="s">
        <v>34</v>
      </c>
      <c r="P10" t="str">
        <f t="shared" ref="P10:P66" si="3">$P$1&amp;"_"&amp;O10</f>
        <v>ADC_Fosc_8</v>
      </c>
      <c r="S10" t="str">
        <f t="shared" ref="S10:S66" si="4">$P$2&amp;" "&amp;P10&amp;" "&amp;$P$3&amp;M10</f>
        <v xml:space="preserve"># define ADC_Fosc_8 0x40</v>
      </c>
    </row>
    <row r="11">
      <c r="C11" s="2">
        <v>1</v>
      </c>
      <c r="D11" s="2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L11" s="1">
        <f t="shared" si="0"/>
        <v>10000000</v>
      </c>
      <c r="M11" s="1" t="str">
        <f t="shared" si="1"/>
        <v>80</v>
      </c>
      <c r="N11" s="1">
        <f t="shared" si="2"/>
        <v>128</v>
      </c>
      <c r="O11" t="s">
        <v>35</v>
      </c>
      <c r="P11" t="str">
        <f t="shared" si="3"/>
        <v>ADC_Fosc_32</v>
      </c>
      <c r="S11" t="str">
        <f t="shared" si="4"/>
        <v xml:space="preserve"># define ADC_Fosc_32 0x80</v>
      </c>
    </row>
    <row r="12">
      <c r="C12" s="2">
        <v>1</v>
      </c>
      <c r="D12" s="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L12" s="1">
        <f t="shared" si="0"/>
        <v>11000000</v>
      </c>
      <c r="M12" s="1" t="str">
        <f t="shared" si="1"/>
        <v>C0</v>
      </c>
      <c r="N12" s="1">
        <f t="shared" si="2"/>
        <v>192</v>
      </c>
      <c r="O12" t="s">
        <v>36</v>
      </c>
      <c r="P12" t="str">
        <f t="shared" si="3"/>
        <v>ADC_FRC</v>
      </c>
      <c r="S12" t="str">
        <f t="shared" si="4"/>
        <v xml:space="preserve"># define ADC_FRC 0xC0</v>
      </c>
    </row>
    <row r="13">
      <c r="C13" s="2">
        <v>0</v>
      </c>
      <c r="D13" s="2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L13" s="1">
        <f t="shared" si="0"/>
        <v>0</v>
      </c>
      <c r="M13" s="1" t="str">
        <f t="shared" si="1"/>
        <v>0</v>
      </c>
      <c r="N13" s="1">
        <f t="shared" si="2"/>
        <v>0</v>
      </c>
      <c r="O13" t="s">
        <v>37</v>
      </c>
      <c r="P13" t="str">
        <f t="shared" si="3"/>
        <v>ADC_Fosc_4</v>
      </c>
      <c r="S13" t="str">
        <f t="shared" si="4"/>
        <v xml:space="preserve"># define ADC_Fosc_4 0x0</v>
      </c>
    </row>
    <row r="14">
      <c r="C14" s="2">
        <v>0</v>
      </c>
      <c r="D14" s="2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L14" s="1">
        <f t="shared" si="0"/>
        <v>1000000</v>
      </c>
      <c r="M14" s="1" t="str">
        <f t="shared" si="1"/>
        <v>40</v>
      </c>
      <c r="N14" s="1">
        <f t="shared" si="2"/>
        <v>64</v>
      </c>
      <c r="O14" t="s">
        <v>38</v>
      </c>
      <c r="P14" t="str">
        <f t="shared" si="3"/>
        <v>ADC_Fosc_16</v>
      </c>
      <c r="S14" t="str">
        <f t="shared" si="4"/>
        <v xml:space="preserve"># define ADC_Fosc_16 0x40</v>
      </c>
    </row>
    <row r="15">
      <c r="C15" s="2">
        <v>1</v>
      </c>
      <c r="D15" s="2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L15" s="1">
        <f t="shared" si="0"/>
        <v>10000000</v>
      </c>
      <c r="M15" s="1" t="str">
        <f t="shared" si="1"/>
        <v>80</v>
      </c>
      <c r="N15" s="1">
        <f t="shared" si="2"/>
        <v>128</v>
      </c>
      <c r="O15" t="s">
        <v>39</v>
      </c>
      <c r="P15" t="str">
        <f t="shared" si="3"/>
        <v>ADC_Fosc_64</v>
      </c>
      <c r="S15" t="str">
        <f t="shared" si="4"/>
        <v xml:space="preserve"># define ADC_Fosc_64 0x80</v>
      </c>
    </row>
    <row r="16">
      <c r="C16" s="2">
        <v>1</v>
      </c>
      <c r="D16" s="2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L16" s="1">
        <f t="shared" si="0"/>
        <v>11000000</v>
      </c>
      <c r="M16" s="1" t="str">
        <f t="shared" si="1"/>
        <v>C0</v>
      </c>
      <c r="N16" s="1">
        <f t="shared" si="2"/>
        <v>192</v>
      </c>
      <c r="O16" t="s">
        <v>36</v>
      </c>
      <c r="P16" t="str">
        <f t="shared" si="3"/>
        <v>ADC_FRC</v>
      </c>
      <c r="S16" t="str">
        <f t="shared" si="4"/>
        <v xml:space="preserve"># define ADC_FRC 0xC0</v>
      </c>
    </row>
    <row r="19">
      <c r="C19" t="s">
        <v>40</v>
      </c>
    </row>
    <row r="21">
      <c r="C21" t="s">
        <v>16</v>
      </c>
      <c r="D21" t="s">
        <v>17</v>
      </c>
      <c r="E21" t="s">
        <v>18</v>
      </c>
      <c r="F21" t="s">
        <v>19</v>
      </c>
      <c r="G21" t="s">
        <v>20</v>
      </c>
      <c r="H21" t="s">
        <v>21</v>
      </c>
      <c r="I21" t="s">
        <v>22</v>
      </c>
      <c r="J21" t="s">
        <v>23</v>
      </c>
      <c r="L21" s="1" t="s">
        <v>27</v>
      </c>
      <c r="M21" s="1" t="s">
        <v>28</v>
      </c>
      <c r="N21" s="1" t="s">
        <v>29</v>
      </c>
      <c r="O21" s="1" t="s">
        <v>30</v>
      </c>
      <c r="P21" s="1" t="s">
        <v>31</v>
      </c>
      <c r="S21" s="1" t="s">
        <v>32</v>
      </c>
    </row>
    <row r="22">
      <c r="C22">
        <v>0</v>
      </c>
      <c r="D22">
        <v>0</v>
      </c>
      <c r="E22" s="2">
        <v>0</v>
      </c>
      <c r="F22" s="2">
        <v>0</v>
      </c>
      <c r="G22" s="2">
        <v>0</v>
      </c>
      <c r="H22">
        <v>0</v>
      </c>
      <c r="I22">
        <v>0</v>
      </c>
      <c r="J22">
        <v>0</v>
      </c>
      <c r="L22" s="1">
        <f t="shared" si="0"/>
        <v>0</v>
      </c>
      <c r="M22" s="1" t="str">
        <f t="shared" si="1"/>
        <v>0</v>
      </c>
      <c r="N22" s="1">
        <f t="shared" si="2"/>
        <v>0</v>
      </c>
      <c r="O22" t="s">
        <v>41</v>
      </c>
      <c r="P22" t="str">
        <f t="shared" si="3"/>
        <v>ADC_AN0</v>
      </c>
      <c r="S22" t="str">
        <f t="shared" si="4"/>
        <v xml:space="preserve"># define ADC_AN0 0x0</v>
      </c>
    </row>
    <row r="23">
      <c r="C23">
        <v>0</v>
      </c>
      <c r="D23">
        <v>0</v>
      </c>
      <c r="E23" s="2">
        <v>0</v>
      </c>
      <c r="F23" s="2">
        <v>0</v>
      </c>
      <c r="G23" s="2">
        <v>1</v>
      </c>
      <c r="H23">
        <v>0</v>
      </c>
      <c r="I23">
        <v>0</v>
      </c>
      <c r="J23">
        <v>0</v>
      </c>
      <c r="L23" s="1">
        <f t="shared" si="0"/>
        <v>1000</v>
      </c>
      <c r="M23" s="1" t="str">
        <f t="shared" si="1"/>
        <v>8</v>
      </c>
      <c r="N23" s="1">
        <f t="shared" si="2"/>
        <v>8</v>
      </c>
      <c r="O23" t="s">
        <v>42</v>
      </c>
      <c r="P23" t="str">
        <f t="shared" si="3"/>
        <v>ADC_AN1</v>
      </c>
      <c r="S23" t="str">
        <f t="shared" si="4"/>
        <v xml:space="preserve"># define ADC_AN1 0x8</v>
      </c>
    </row>
    <row r="24">
      <c r="C24">
        <v>0</v>
      </c>
      <c r="D24">
        <v>0</v>
      </c>
      <c r="E24" s="2">
        <v>0</v>
      </c>
      <c r="F24" s="2">
        <v>1</v>
      </c>
      <c r="G24" s="2">
        <v>0</v>
      </c>
      <c r="H24">
        <v>0</v>
      </c>
      <c r="I24">
        <v>0</v>
      </c>
      <c r="J24">
        <v>0</v>
      </c>
      <c r="L24" s="1">
        <f t="shared" si="0"/>
        <v>10000</v>
      </c>
      <c r="M24" s="1" t="str">
        <f t="shared" si="1"/>
        <v>10</v>
      </c>
      <c r="N24" s="1">
        <f t="shared" si="2"/>
        <v>16</v>
      </c>
      <c r="O24" t="s">
        <v>43</v>
      </c>
      <c r="P24" t="str">
        <f t="shared" si="3"/>
        <v>ADC_AN2</v>
      </c>
      <c r="S24" t="str">
        <f t="shared" si="4"/>
        <v xml:space="preserve"># define ADC_AN2 0x10</v>
      </c>
    </row>
    <row r="25">
      <c r="C25">
        <v>0</v>
      </c>
      <c r="D25">
        <v>0</v>
      </c>
      <c r="E25" s="2">
        <v>0</v>
      </c>
      <c r="F25" s="2">
        <v>1</v>
      </c>
      <c r="G25" s="2">
        <v>1</v>
      </c>
      <c r="H25">
        <v>0</v>
      </c>
      <c r="I25">
        <v>0</v>
      </c>
      <c r="J25">
        <v>0</v>
      </c>
      <c r="L25" s="1">
        <f t="shared" si="0"/>
        <v>11000</v>
      </c>
      <c r="M25" s="1" t="str">
        <f t="shared" si="1"/>
        <v>18</v>
      </c>
      <c r="N25" s="1">
        <f t="shared" si="2"/>
        <v>24</v>
      </c>
      <c r="O25" t="s">
        <v>44</v>
      </c>
      <c r="P25" t="str">
        <f t="shared" si="3"/>
        <v>ADC_AN3</v>
      </c>
      <c r="S25" t="str">
        <f t="shared" si="4"/>
        <v xml:space="preserve"># define ADC_AN3 0x18</v>
      </c>
    </row>
    <row r="26">
      <c r="C26">
        <v>0</v>
      </c>
      <c r="D26">
        <v>0</v>
      </c>
      <c r="E26" s="2">
        <v>1</v>
      </c>
      <c r="F26" s="2">
        <v>0</v>
      </c>
      <c r="G26" s="2">
        <v>0</v>
      </c>
      <c r="H26">
        <v>0</v>
      </c>
      <c r="I26">
        <v>0</v>
      </c>
      <c r="J26">
        <v>0</v>
      </c>
      <c r="L26" s="1">
        <f t="shared" si="0"/>
        <v>100000</v>
      </c>
      <c r="M26" s="1" t="str">
        <f t="shared" si="1"/>
        <v>20</v>
      </c>
      <c r="N26" s="1">
        <f t="shared" si="2"/>
        <v>32</v>
      </c>
      <c r="O26" t="s">
        <v>45</v>
      </c>
      <c r="P26" t="str">
        <f t="shared" si="3"/>
        <v>ADC_AN4</v>
      </c>
      <c r="S26" t="str">
        <f t="shared" si="4"/>
        <v xml:space="preserve"># define ADC_AN4 0x20</v>
      </c>
    </row>
    <row r="27">
      <c r="C27">
        <v>0</v>
      </c>
      <c r="D27">
        <v>0</v>
      </c>
      <c r="E27" s="2">
        <v>1</v>
      </c>
      <c r="F27" s="2">
        <v>0</v>
      </c>
      <c r="G27" s="2">
        <v>1</v>
      </c>
      <c r="H27">
        <v>0</v>
      </c>
      <c r="I27">
        <v>0</v>
      </c>
      <c r="J27">
        <v>0</v>
      </c>
      <c r="L27" s="1">
        <f t="shared" si="0"/>
        <v>101000</v>
      </c>
      <c r="M27" s="1" t="str">
        <f t="shared" si="1"/>
        <v>28</v>
      </c>
      <c r="N27" s="1">
        <f t="shared" si="2"/>
        <v>40</v>
      </c>
      <c r="O27" t="s">
        <v>46</v>
      </c>
      <c r="P27" t="str">
        <f t="shared" si="3"/>
        <v>ADC_AN5</v>
      </c>
      <c r="S27" t="str">
        <f t="shared" si="4"/>
        <v xml:space="preserve"># define ADC_AN5 0x28</v>
      </c>
    </row>
    <row r="28">
      <c r="C28">
        <v>0</v>
      </c>
      <c r="D28">
        <v>0</v>
      </c>
      <c r="E28" s="2">
        <v>1</v>
      </c>
      <c r="F28" s="2">
        <v>1</v>
      </c>
      <c r="G28" s="2">
        <v>0</v>
      </c>
      <c r="H28">
        <v>0</v>
      </c>
      <c r="I28">
        <v>0</v>
      </c>
      <c r="J28">
        <v>0</v>
      </c>
      <c r="L28" s="1">
        <f t="shared" si="0"/>
        <v>110000</v>
      </c>
      <c r="M28" s="1" t="str">
        <f t="shared" si="1"/>
        <v>30</v>
      </c>
      <c r="N28" s="1">
        <f t="shared" si="2"/>
        <v>48</v>
      </c>
      <c r="O28" t="s">
        <v>47</v>
      </c>
      <c r="P28" t="str">
        <f t="shared" si="3"/>
        <v>ADC_AN6</v>
      </c>
      <c r="S28" t="str">
        <f t="shared" si="4"/>
        <v xml:space="preserve"># define ADC_AN6 0x30</v>
      </c>
    </row>
    <row r="29">
      <c r="C29">
        <v>0</v>
      </c>
      <c r="D29">
        <v>0</v>
      </c>
      <c r="E29" s="2">
        <v>1</v>
      </c>
      <c r="F29" s="2">
        <v>1</v>
      </c>
      <c r="G29" s="2">
        <v>1</v>
      </c>
      <c r="H29">
        <v>0</v>
      </c>
      <c r="I29">
        <v>0</v>
      </c>
      <c r="J29">
        <v>0</v>
      </c>
      <c r="L29" s="1">
        <f t="shared" si="0"/>
        <v>111000</v>
      </c>
      <c r="M29" s="1" t="str">
        <f t="shared" si="1"/>
        <v>38</v>
      </c>
      <c r="N29" s="1">
        <f t="shared" si="2"/>
        <v>56</v>
      </c>
      <c r="O29" t="s">
        <v>48</v>
      </c>
      <c r="P29" t="str">
        <f t="shared" si="3"/>
        <v>ADC_AN7</v>
      </c>
      <c r="S29" t="str">
        <f t="shared" si="4"/>
        <v xml:space="preserve"># define ADC_AN7 0x38</v>
      </c>
    </row>
    <row r="32">
      <c r="C32" s="3" t="s">
        <v>49</v>
      </c>
    </row>
    <row r="33">
      <c r="C33" t="s">
        <v>16</v>
      </c>
      <c r="D33" t="s">
        <v>17</v>
      </c>
      <c r="E33" t="s">
        <v>18</v>
      </c>
      <c r="F33" t="s">
        <v>19</v>
      </c>
      <c r="G33" t="s">
        <v>20</v>
      </c>
      <c r="H33" t="s">
        <v>21</v>
      </c>
      <c r="I33" t="s">
        <v>22</v>
      </c>
      <c r="J33" t="s">
        <v>23</v>
      </c>
      <c r="L33" s="1" t="s">
        <v>27</v>
      </c>
      <c r="M33" s="1" t="s">
        <v>28</v>
      </c>
      <c r="N33" s="1" t="s">
        <v>29</v>
      </c>
      <c r="O33" s="1" t="s">
        <v>30</v>
      </c>
      <c r="P33" s="1" t="s">
        <v>31</v>
      </c>
      <c r="S33" s="1" t="s">
        <v>32</v>
      </c>
    </row>
    <row r="34"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s="2">
        <v>0</v>
      </c>
      <c r="L34" s="1">
        <f t="shared" si="0"/>
        <v>0</v>
      </c>
      <c r="M34" s="1" t="str">
        <f t="shared" si="1"/>
        <v>0</v>
      </c>
      <c r="N34" s="1">
        <f t="shared" si="2"/>
        <v>0</v>
      </c>
      <c r="O34" t="s">
        <v>50</v>
      </c>
      <c r="P34" t="str">
        <f t="shared" si="3"/>
        <v>ADC_OFF</v>
      </c>
      <c r="S34" t="str">
        <f t="shared" si="4"/>
        <v xml:space="preserve"># define ADC_OFF 0x0</v>
      </c>
    </row>
    <row r="35"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s="2">
        <v>1</v>
      </c>
      <c r="L35" s="1">
        <f t="shared" si="0"/>
        <v>1</v>
      </c>
      <c r="M35" s="1" t="str">
        <f t="shared" si="1"/>
        <v>1</v>
      </c>
      <c r="N35" s="1">
        <f t="shared" si="2"/>
        <v>1</v>
      </c>
      <c r="O35" t="s">
        <v>51</v>
      </c>
      <c r="P35" t="str">
        <f t="shared" si="3"/>
        <v>ADC_ON</v>
      </c>
      <c r="S35" t="str">
        <f t="shared" si="4"/>
        <v xml:space="preserve"># define ADC_ON 0x1</v>
      </c>
    </row>
    <row r="38">
      <c r="C38" s="4" t="s">
        <v>52</v>
      </c>
    </row>
    <row r="39">
      <c r="C39" t="s">
        <v>16</v>
      </c>
      <c r="D39" t="s">
        <v>17</v>
      </c>
      <c r="E39" t="s">
        <v>18</v>
      </c>
      <c r="F39" t="s">
        <v>19</v>
      </c>
      <c r="G39" t="s">
        <v>20</v>
      </c>
      <c r="H39" t="s">
        <v>21</v>
      </c>
      <c r="I39" t="s">
        <v>22</v>
      </c>
      <c r="J39" t="s">
        <v>23</v>
      </c>
      <c r="L39" s="1" t="s">
        <v>27</v>
      </c>
      <c r="M39" s="1" t="s">
        <v>28</v>
      </c>
      <c r="N39" s="1" t="s">
        <v>29</v>
      </c>
      <c r="O39" s="1" t="s">
        <v>30</v>
      </c>
      <c r="P39" s="1" t="s">
        <v>31</v>
      </c>
      <c r="S39" s="1" t="s">
        <v>32</v>
      </c>
    </row>
    <row r="40">
      <c r="C40">
        <v>0</v>
      </c>
      <c r="D40">
        <v>0</v>
      </c>
      <c r="E40">
        <v>0</v>
      </c>
      <c r="F40">
        <v>0</v>
      </c>
      <c r="G40">
        <v>0</v>
      </c>
      <c r="H40" s="2">
        <v>1</v>
      </c>
      <c r="I40">
        <v>0</v>
      </c>
      <c r="J40">
        <v>0</v>
      </c>
      <c r="L40" s="1">
        <f t="shared" si="0"/>
        <v>100</v>
      </c>
      <c r="M40" s="1" t="str">
        <f t="shared" si="1"/>
        <v>4</v>
      </c>
      <c r="N40" s="1">
        <f t="shared" si="2"/>
        <v>4</v>
      </c>
      <c r="O40" t="s">
        <v>53</v>
      </c>
      <c r="P40" t="str">
        <f t="shared" si="3"/>
        <v>ADC_Start_Conversion</v>
      </c>
      <c r="S40" t="str">
        <f t="shared" si="4"/>
        <v xml:space="preserve"># define ADC_Start_Conversion 0x4</v>
      </c>
    </row>
    <row r="44">
      <c r="A44" t="s">
        <v>54</v>
      </c>
    </row>
    <row r="46">
      <c r="C46" t="s">
        <v>55</v>
      </c>
      <c r="D46" t="s">
        <v>56</v>
      </c>
      <c r="E46" t="s">
        <v>22</v>
      </c>
      <c r="F46" t="s">
        <v>22</v>
      </c>
      <c r="G46" t="s">
        <v>57</v>
      </c>
      <c r="H46" t="s">
        <v>58</v>
      </c>
      <c r="I46" t="s">
        <v>59</v>
      </c>
      <c r="J46" t="s">
        <v>60</v>
      </c>
    </row>
    <row r="49">
      <c r="C49" t="s">
        <v>61</v>
      </c>
    </row>
    <row r="51">
      <c r="C51" t="s">
        <v>55</v>
      </c>
      <c r="D51" t="s">
        <v>56</v>
      </c>
      <c r="E51" t="s">
        <v>22</v>
      </c>
      <c r="F51" t="s">
        <v>22</v>
      </c>
      <c r="G51" t="s">
        <v>57</v>
      </c>
      <c r="H51" t="s">
        <v>58</v>
      </c>
      <c r="I51" t="s">
        <v>59</v>
      </c>
      <c r="J51" t="s">
        <v>60</v>
      </c>
      <c r="L51" s="1" t="s">
        <v>27</v>
      </c>
      <c r="M51" s="1" t="s">
        <v>28</v>
      </c>
      <c r="N51" s="1" t="s">
        <v>29</v>
      </c>
      <c r="O51" s="1" t="s">
        <v>30</v>
      </c>
      <c r="P51" s="1" t="s">
        <v>31</v>
      </c>
      <c r="S51" s="1" t="s">
        <v>32</v>
      </c>
    </row>
    <row r="52">
      <c r="C52" s="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L52" s="1">
        <f t="shared" si="0"/>
        <v>10000000</v>
      </c>
      <c r="M52" s="1" t="str">
        <f t="shared" si="1"/>
        <v>80</v>
      </c>
      <c r="N52" s="1">
        <f t="shared" si="2"/>
        <v>128</v>
      </c>
      <c r="O52" t="s">
        <v>62</v>
      </c>
      <c r="P52" t="str">
        <f t="shared" si="3"/>
        <v>ADC_Right_Justified</v>
      </c>
      <c r="S52" t="str">
        <f t="shared" si="4"/>
        <v xml:space="preserve"># define ADC_Right_Justified 0x80</v>
      </c>
    </row>
    <row r="53">
      <c r="C53" s="2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L53" s="1">
        <f t="shared" si="0"/>
        <v>0</v>
      </c>
      <c r="M53" s="1" t="str">
        <f t="shared" si="1"/>
        <v>0</v>
      </c>
      <c r="N53" s="1">
        <f t="shared" si="2"/>
        <v>0</v>
      </c>
      <c r="O53" t="s">
        <v>63</v>
      </c>
      <c r="P53" t="str">
        <f t="shared" si="3"/>
        <v>ADC_Left_Justified</v>
      </c>
      <c r="S53" t="str">
        <f t="shared" si="4"/>
        <v xml:space="preserve"># define ADC_Left_Justified 0x0</v>
      </c>
    </row>
    <row r="56">
      <c r="C56" t="s">
        <v>64</v>
      </c>
    </row>
    <row r="58">
      <c r="C58" t="s">
        <v>55</v>
      </c>
      <c r="D58" t="s">
        <v>56</v>
      </c>
      <c r="E58" t="s">
        <v>22</v>
      </c>
      <c r="F58" t="s">
        <v>22</v>
      </c>
      <c r="G58" t="s">
        <v>57</v>
      </c>
      <c r="H58" t="s">
        <v>58</v>
      </c>
      <c r="I58" t="s">
        <v>59</v>
      </c>
      <c r="J58" t="s">
        <v>60</v>
      </c>
      <c r="L58" s="1" t="s">
        <v>27</v>
      </c>
      <c r="M58" s="1" t="s">
        <v>28</v>
      </c>
      <c r="N58" s="1" t="s">
        <v>29</v>
      </c>
      <c r="O58" s="1" t="s">
        <v>30</v>
      </c>
      <c r="P58" s="1" t="s">
        <v>31</v>
      </c>
      <c r="S58" s="1" t="s">
        <v>32</v>
      </c>
    </row>
    <row r="59">
      <c r="C59">
        <v>0</v>
      </c>
      <c r="D59" s="2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L59" s="1">
        <f t="shared" si="0"/>
        <v>0</v>
      </c>
      <c r="M59" s="1" t="str">
        <f t="shared" si="1"/>
        <v>0</v>
      </c>
      <c r="N59" s="1">
        <f t="shared" si="2"/>
        <v>0</v>
      </c>
      <c r="O59" t="s">
        <v>65</v>
      </c>
      <c r="P59" t="str">
        <f t="shared" si="3"/>
        <v>ADC_Fosc_2_8_32_RC</v>
      </c>
      <c r="S59" t="str">
        <f t="shared" si="4"/>
        <v xml:space="preserve"># define ADC_Fosc_2_8_32_RC 0x0</v>
      </c>
    </row>
    <row r="60">
      <c r="C60">
        <v>0</v>
      </c>
      <c r="D60" s="2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L60" s="1">
        <f t="shared" si="0"/>
        <v>1000000</v>
      </c>
      <c r="M60" s="1" t="str">
        <f t="shared" si="1"/>
        <v>40</v>
      </c>
      <c r="N60" s="1">
        <f t="shared" si="2"/>
        <v>64</v>
      </c>
      <c r="O60" t="s">
        <v>66</v>
      </c>
      <c r="P60" t="str">
        <f t="shared" si="3"/>
        <v>ADC_Fosc_4_16_64_RC</v>
      </c>
      <c r="S60" t="str">
        <f t="shared" si="4"/>
        <v xml:space="preserve"># define ADC_Fosc_4_16_64_RC 0x40</v>
      </c>
    </row>
    <row r="63">
      <c r="C63" t="s">
        <v>67</v>
      </c>
    </row>
    <row r="65">
      <c r="C65" t="s">
        <v>55</v>
      </c>
      <c r="D65" t="s">
        <v>56</v>
      </c>
      <c r="E65" t="s">
        <v>22</v>
      </c>
      <c r="F65" t="s">
        <v>22</v>
      </c>
      <c r="G65" t="s">
        <v>57</v>
      </c>
      <c r="H65" t="s">
        <v>58</v>
      </c>
      <c r="I65" t="s">
        <v>59</v>
      </c>
      <c r="J65" t="s">
        <v>60</v>
      </c>
      <c r="L65" s="1" t="s">
        <v>27</v>
      </c>
      <c r="M65" s="1" t="s">
        <v>28</v>
      </c>
      <c r="N65" s="1" t="s">
        <v>29</v>
      </c>
      <c r="O65" s="1" t="s">
        <v>30</v>
      </c>
      <c r="P65" s="1" t="s">
        <v>31</v>
      </c>
      <c r="S65" s="1" t="s">
        <v>32</v>
      </c>
    </row>
    <row r="66">
      <c r="C66">
        <v>0</v>
      </c>
      <c r="D66">
        <v>0</v>
      </c>
      <c r="E66">
        <v>0</v>
      </c>
      <c r="F66">
        <v>0</v>
      </c>
      <c r="G66" s="2">
        <v>0</v>
      </c>
      <c r="H66" s="2">
        <v>0</v>
      </c>
      <c r="I66" s="2">
        <v>0</v>
      </c>
      <c r="J66" s="2">
        <v>0</v>
      </c>
      <c r="L66" s="1">
        <f t="shared" si="0"/>
        <v>0</v>
      </c>
      <c r="M66" s="1" t="str">
        <f t="shared" si="1"/>
        <v>0</v>
      </c>
      <c r="N66" s="1">
        <f t="shared" si="2"/>
        <v>0</v>
      </c>
      <c r="O66" t="s">
        <v>68</v>
      </c>
      <c r="P66" t="str">
        <f t="shared" si="3"/>
        <v>ADC_All_Channel_Input</v>
      </c>
      <c r="S66" t="str">
        <f t="shared" si="4"/>
        <v xml:space="preserve"># define ADC_All_Channel_Input 0x0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14" activeCellId="0" sqref="I14"/>
    </sheetView>
  </sheetViews>
  <sheetFormatPr defaultRowHeight="14.449999999999999"/>
  <cols>
    <col bestFit="1" customWidth="1" min="1" max="1" width="18.140625"/>
    <col bestFit="1" customWidth="1" min="6" max="6" width="17.42578125"/>
  </cols>
  <sheetData>
    <row r="1">
      <c r="A1" t="s">
        <v>69</v>
      </c>
      <c r="B1">
        <v>5</v>
      </c>
      <c r="C1" t="s">
        <v>70</v>
      </c>
      <c r="F1" t="s">
        <v>71</v>
      </c>
      <c r="G1">
        <v>3.2999999999999998</v>
      </c>
      <c r="H1" t="s">
        <v>70</v>
      </c>
    </row>
    <row r="2">
      <c r="J2" t="s">
        <v>72</v>
      </c>
      <c r="K2">
        <v>10.300000000000001</v>
      </c>
      <c r="L2" t="s">
        <v>73</v>
      </c>
    </row>
    <row r="3">
      <c r="A3" t="s">
        <v>74</v>
      </c>
      <c r="B3">
        <v>10</v>
      </c>
      <c r="C3" t="s">
        <v>75</v>
      </c>
      <c r="F3" t="s">
        <v>76</v>
      </c>
      <c r="G3">
        <f>ROUND(G1/B8,0)</f>
        <v>675</v>
      </c>
      <c r="H3" t="s">
        <v>10</v>
      </c>
      <c r="J3" t="s">
        <v>77</v>
      </c>
      <c r="K3">
        <v>2</v>
      </c>
      <c r="L3" t="s">
        <v>70</v>
      </c>
    </row>
    <row r="4">
      <c r="F4" t="s">
        <v>76</v>
      </c>
      <c r="G4" t="str">
        <f>DEC2HEX(G3)</f>
        <v>2A3</v>
      </c>
      <c r="H4" t="s">
        <v>9</v>
      </c>
      <c r="J4" t="s">
        <v>78</v>
      </c>
      <c r="K4">
        <f>K3*K2/B1</f>
        <v>4.1200000000000001</v>
      </c>
      <c r="L4" t="s">
        <v>79</v>
      </c>
    </row>
    <row r="5">
      <c r="A5" t="s">
        <v>80</v>
      </c>
      <c r="B5" t="str">
        <f>IF(B3=10,"3FF","FF")</f>
        <v>3FF</v>
      </c>
      <c r="C5" t="s">
        <v>9</v>
      </c>
    </row>
    <row r="6">
      <c r="A6" t="s">
        <v>80</v>
      </c>
      <c r="B6">
        <f>HEX2DEC(B5)</f>
        <v>1023</v>
      </c>
      <c r="C6" t="s">
        <v>10</v>
      </c>
      <c r="F6" t="s">
        <v>9</v>
      </c>
      <c r="G6" t="s">
        <v>81</v>
      </c>
    </row>
    <row r="7">
      <c r="F7" t="s">
        <v>82</v>
      </c>
      <c r="G7" t="str">
        <f>HEX2BIN(G6)</f>
        <v>10100011</v>
      </c>
    </row>
    <row r="8">
      <c r="A8" t="s">
        <v>83</v>
      </c>
      <c r="B8">
        <f>B1/B6</f>
        <v>0.0048875855327468231</v>
      </c>
      <c r="C8" t="s">
        <v>10</v>
      </c>
    </row>
    <row r="9">
      <c r="A9" t="s">
        <v>84</v>
      </c>
      <c r="B9">
        <f>ROUND(B8*10^5,0)</f>
        <v>489</v>
      </c>
      <c r="C9" t="s">
        <v>10</v>
      </c>
      <c r="F9" t="s">
        <v>82</v>
      </c>
      <c r="G9">
        <v>10101011</v>
      </c>
    </row>
    <row r="10">
      <c r="F10" t="s">
        <v>9</v>
      </c>
      <c r="G10" t="str">
        <f>BIN2HEX(G9)</f>
        <v>AB</v>
      </c>
    </row>
    <row r="11">
      <c r="A11" t="s">
        <v>84</v>
      </c>
      <c r="B11" t="str">
        <f>DEC2HEX(B9)</f>
        <v>1E9</v>
      </c>
      <c r="C11" t="s">
        <v>9</v>
      </c>
      <c r="F11" t="s">
        <v>10</v>
      </c>
      <c r="G11">
        <f>BIN2DEC(G9)</f>
        <v>171</v>
      </c>
    </row>
    <row r="13">
      <c r="F13" t="s">
        <v>85</v>
      </c>
      <c r="G13">
        <f>HEX2DEC(G11*HEX2DEC(B11))</f>
        <v>538137</v>
      </c>
    </row>
    <row r="18">
      <c r="G18" t="s">
        <v>86</v>
      </c>
      <c r="J18">
        <v>3.2999999999999998</v>
      </c>
    </row>
    <row r="19">
      <c r="F19" t="s">
        <v>87</v>
      </c>
      <c r="G19">
        <v>10</v>
      </c>
      <c r="H19" t="s">
        <v>88</v>
      </c>
      <c r="J19">
        <v>10101010</v>
      </c>
      <c r="K19" t="s">
        <v>88</v>
      </c>
    </row>
    <row r="20">
      <c r="G20">
        <f>BIN2DEC(G19)</f>
        <v>2</v>
      </c>
      <c r="H20" t="s">
        <v>89</v>
      </c>
      <c r="J20">
        <f>BIN2DEC(J19)</f>
        <v>170</v>
      </c>
      <c r="K20" t="s">
        <v>89</v>
      </c>
    </row>
    <row r="21">
      <c r="G21" t="str">
        <f>BIN2HEX(G19)</f>
        <v>2</v>
      </c>
      <c r="H21" t="s">
        <v>90</v>
      </c>
      <c r="J21" t="str">
        <f>BIN2HEX(J19)</f>
        <v>AA</v>
      </c>
      <c r="K21" t="s">
        <v>90</v>
      </c>
    </row>
    <row r="23">
      <c r="F23" t="s">
        <v>91</v>
      </c>
      <c r="G23">
        <v>0</v>
      </c>
      <c r="H23" t="s">
        <v>90</v>
      </c>
      <c r="J23" t="s">
        <v>81</v>
      </c>
      <c r="K23" t="s">
        <v>90</v>
      </c>
    </row>
    <row r="24">
      <c r="G24">
        <f>HEX2DEC(G23)</f>
        <v>0</v>
      </c>
      <c r="H24" t="s">
        <v>89</v>
      </c>
      <c r="J24">
        <f>HEX2DEC(J23)</f>
        <v>163</v>
      </c>
      <c r="K24" t="s">
        <v>89</v>
      </c>
    </row>
    <row r="26">
      <c r="F26" t="s">
        <v>92</v>
      </c>
      <c r="G26" t="str">
        <f>DEC2HEX(G20-G24)</f>
        <v>2</v>
      </c>
      <c r="H26" t="s">
        <v>90</v>
      </c>
      <c r="J26" t="str">
        <f>DEC2HEX(J20-J24)</f>
        <v>7</v>
      </c>
      <c r="K26" t="s">
        <v>90</v>
      </c>
    </row>
  </sheetData>
  <dataValidations count="1" disablePrompts="0">
    <dataValidation sqref="B3" type="list" allowBlank="1" errorStyle="stop" imeMode="noControl" operator="between" showDropDown="0" showErrorMessage="1" showInputMessage="1">
      <formula1>DropDown!$B$2:$B$3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8" zoomScale="100" workbookViewId="0">
      <selection activeCell="D34" activeCellId="0" sqref="D34"/>
    </sheetView>
  </sheetViews>
  <sheetFormatPr defaultRowHeight="14.449999999999999"/>
  <cols>
    <col min="1" max="2" style="1" width="9.140625"/>
    <col bestFit="1" customWidth="1" min="3" max="3" width="28"/>
    <col bestFit="1" customWidth="1" min="4" max="4" width="50.7109375"/>
  </cols>
  <sheetData>
    <row r="1">
      <c r="C1" t="s">
        <v>12</v>
      </c>
      <c r="D1" t="s">
        <v>93</v>
      </c>
    </row>
    <row r="2">
      <c r="C2" t="s">
        <v>14</v>
      </c>
      <c r="D2" t="s">
        <v>94</v>
      </c>
    </row>
    <row r="3">
      <c r="C3" t="s">
        <v>24</v>
      </c>
      <c r="D3" t="s">
        <v>25</v>
      </c>
    </row>
    <row r="8">
      <c r="A8" s="1" t="s">
        <v>29</v>
      </c>
      <c r="B8" s="1" t="s">
        <v>28</v>
      </c>
      <c r="C8" s="1" t="s">
        <v>30</v>
      </c>
      <c r="D8" s="1" t="s">
        <v>31</v>
      </c>
      <c r="G8" s="1" t="s">
        <v>32</v>
      </c>
    </row>
    <row r="9">
      <c r="A9" s="1">
        <v>0</v>
      </c>
      <c r="B9" s="1" t="str">
        <f>DEC2HEX(A9)</f>
        <v>0</v>
      </c>
      <c r="C9" t="s">
        <v>95</v>
      </c>
      <c r="D9" t="str">
        <f>$D$1&amp;"_"&amp;C9</f>
        <v>SX1276_LoRa_REG_FIFO</v>
      </c>
      <c r="G9" t="str">
        <f>$D$2&amp;" "&amp;D9&amp;" "&amp;$D$3&amp;B9</f>
        <v xml:space="preserve">#define SX1276_LoRa_REG_FIFO 0x0</v>
      </c>
    </row>
    <row r="10">
      <c r="A10" s="1">
        <v>1</v>
      </c>
      <c r="B10" s="1" t="str">
        <f t="shared" ref="B10:B52" si="5">DEC2HEX(A10)</f>
        <v>1</v>
      </c>
      <c r="C10" t="s">
        <v>96</v>
      </c>
      <c r="D10" t="str">
        <f t="shared" ref="D10:D52" si="6">$D$1&amp;"_"&amp;C10</f>
        <v>SX1276_LoRa_REG_OP_MODE</v>
      </c>
      <c r="G10" t="str">
        <f t="shared" ref="G10:G52" si="7">$D$2&amp;" "&amp;D10&amp;" "&amp;$D$3&amp;B10</f>
        <v xml:space="preserve">#define SX1276_LoRa_REG_OP_MODE 0x1</v>
      </c>
    </row>
    <row r="11">
      <c r="A11" s="1">
        <v>6</v>
      </c>
      <c r="B11" s="1" t="str">
        <f t="shared" si="5"/>
        <v>6</v>
      </c>
      <c r="C11" t="s">
        <v>97</v>
      </c>
      <c r="D11" t="str">
        <f t="shared" si="6"/>
        <v>SX1276_LoRa_REG_FR_MSB</v>
      </c>
      <c r="G11" t="str">
        <f t="shared" si="7"/>
        <v xml:space="preserve">#define SX1276_LoRa_REG_FR_MSB 0x6</v>
      </c>
    </row>
    <row r="12">
      <c r="A12" s="1">
        <v>7</v>
      </c>
      <c r="B12" s="1" t="str">
        <f t="shared" si="5"/>
        <v>7</v>
      </c>
      <c r="C12" t="s">
        <v>98</v>
      </c>
      <c r="D12" t="str">
        <f t="shared" si="6"/>
        <v>SX1276_LoRa_REG_FR_MID</v>
      </c>
      <c r="G12" t="str">
        <f t="shared" si="7"/>
        <v xml:space="preserve">#define SX1276_LoRa_REG_FR_MID 0x7</v>
      </c>
    </row>
    <row r="13">
      <c r="A13" s="1">
        <v>8</v>
      </c>
      <c r="B13" s="1" t="str">
        <f t="shared" si="5"/>
        <v>8</v>
      </c>
      <c r="C13" t="s">
        <v>99</v>
      </c>
      <c r="D13" t="str">
        <f t="shared" si="6"/>
        <v>SX1276_LoRa_REG_FR_LSB</v>
      </c>
      <c r="G13" t="str">
        <f t="shared" si="7"/>
        <v xml:space="preserve">#define SX1276_LoRa_REG_FR_LSB 0x8</v>
      </c>
    </row>
    <row r="14">
      <c r="A14" s="1">
        <v>9</v>
      </c>
      <c r="B14" s="1" t="str">
        <f t="shared" si="5"/>
        <v>9</v>
      </c>
      <c r="C14" t="s">
        <v>100</v>
      </c>
      <c r="D14" t="str">
        <f t="shared" si="6"/>
        <v>SX1276_LoRa_REG_PA_CONFIG</v>
      </c>
      <c r="G14" t="str">
        <f t="shared" si="7"/>
        <v xml:space="preserve">#define SX1276_LoRa_REG_PA_CONFIG 0x9</v>
      </c>
    </row>
    <row r="15">
      <c r="A15" s="1">
        <v>10</v>
      </c>
      <c r="B15" s="1" t="str">
        <f t="shared" si="5"/>
        <v>A</v>
      </c>
      <c r="C15" t="s">
        <v>101</v>
      </c>
      <c r="D15" t="str">
        <f t="shared" si="6"/>
        <v>SX1276_LoRa_REG_PA_RAMP</v>
      </c>
      <c r="G15" t="str">
        <f t="shared" si="7"/>
        <v xml:space="preserve">#define SX1276_LoRa_REG_PA_RAMP 0xA</v>
      </c>
    </row>
    <row r="16">
      <c r="A16" s="1">
        <v>11</v>
      </c>
      <c r="B16" s="1" t="str">
        <f t="shared" si="5"/>
        <v>B</v>
      </c>
      <c r="C16" t="s">
        <v>102</v>
      </c>
      <c r="D16" t="str">
        <f t="shared" si="6"/>
        <v>SX1276_LoRa_REG_OCP</v>
      </c>
      <c r="G16" t="str">
        <f t="shared" si="7"/>
        <v xml:space="preserve">#define SX1276_LoRa_REG_OCP 0xB</v>
      </c>
    </row>
    <row r="17">
      <c r="A17" s="1">
        <v>12</v>
      </c>
      <c r="B17" s="1" t="str">
        <f t="shared" si="5"/>
        <v>C</v>
      </c>
      <c r="C17" s="5" t="s">
        <v>103</v>
      </c>
      <c r="D17" t="str">
        <f t="shared" si="6"/>
        <v>SX1276_LoRa_REG_LNA</v>
      </c>
      <c r="G17" t="str">
        <f t="shared" si="7"/>
        <v xml:space="preserve">#define SX1276_LoRa_REG_LNA 0xC</v>
      </c>
    </row>
    <row r="18">
      <c r="A18" s="1">
        <v>13</v>
      </c>
      <c r="B18" s="1" t="str">
        <f t="shared" si="5"/>
        <v>D</v>
      </c>
      <c r="C18" t="s">
        <v>104</v>
      </c>
      <c r="D18" t="str">
        <f t="shared" si="6"/>
        <v>SX1276_LoRa_REG_FIFO_ADDR_PTR</v>
      </c>
      <c r="G18" t="str">
        <f t="shared" si="7"/>
        <v xml:space="preserve">#define SX1276_LoRa_REG_FIFO_ADDR_PTR 0xD</v>
      </c>
    </row>
    <row r="19">
      <c r="A19" s="1">
        <v>14</v>
      </c>
      <c r="B19" s="1" t="str">
        <f t="shared" si="5"/>
        <v>E</v>
      </c>
      <c r="C19" t="s">
        <v>105</v>
      </c>
      <c r="D19" t="str">
        <f t="shared" si="6"/>
        <v>SX1276_LoRa_REG_FIFO_TX_BASE_ADDR</v>
      </c>
      <c r="G19" t="str">
        <f t="shared" si="7"/>
        <v xml:space="preserve">#define SX1276_LoRa_REG_FIFO_TX_BASE_ADDR 0xE</v>
      </c>
    </row>
    <row r="20">
      <c r="A20" s="1">
        <v>15</v>
      </c>
      <c r="B20" s="1" t="str">
        <f t="shared" si="5"/>
        <v>F</v>
      </c>
      <c r="C20" t="s">
        <v>106</v>
      </c>
      <c r="D20" t="str">
        <f t="shared" si="6"/>
        <v>SX1276_LoRa_REG_FIFO_RX_BASE_ADDR</v>
      </c>
      <c r="G20" t="str">
        <f t="shared" si="7"/>
        <v xml:space="preserve">#define SX1276_LoRa_REG_FIFO_RX_BASE_ADDR 0xF</v>
      </c>
    </row>
    <row r="21">
      <c r="A21" s="1">
        <v>16</v>
      </c>
      <c r="B21" s="1" t="str">
        <f t="shared" si="5"/>
        <v>10</v>
      </c>
      <c r="C21" t="s">
        <v>107</v>
      </c>
      <c r="D21" t="str">
        <f t="shared" si="6"/>
        <v>SX1276_LoRa_REG_FIFO_RX_CURRENT_ADDR</v>
      </c>
      <c r="G21" t="str">
        <f t="shared" si="7"/>
        <v xml:space="preserve">#define SX1276_LoRa_REG_FIFO_RX_CURRENT_ADDR 0x10</v>
      </c>
    </row>
    <row r="22">
      <c r="A22" s="1">
        <v>17</v>
      </c>
      <c r="B22" s="1" t="str">
        <f t="shared" si="5"/>
        <v>11</v>
      </c>
      <c r="C22" t="s">
        <v>108</v>
      </c>
      <c r="D22" t="str">
        <f t="shared" si="6"/>
        <v>SX1276_LoRa_REG_IRQ_FLAGS_MASK</v>
      </c>
      <c r="G22" t="str">
        <f t="shared" si="7"/>
        <v xml:space="preserve">#define SX1276_LoRa_REG_IRQ_FLAGS_MASK 0x11</v>
      </c>
    </row>
    <row r="23">
      <c r="A23" s="1">
        <v>18</v>
      </c>
      <c r="B23" s="1" t="str">
        <f t="shared" si="5"/>
        <v>12</v>
      </c>
      <c r="C23" t="s">
        <v>109</v>
      </c>
      <c r="D23" t="str">
        <f t="shared" si="6"/>
        <v>SX1276_LoRa_REG_IRQ_FLAGS</v>
      </c>
      <c r="G23" t="str">
        <f t="shared" si="7"/>
        <v xml:space="preserve">#define SX1276_LoRa_REG_IRQ_FLAGS 0x12</v>
      </c>
    </row>
    <row r="24">
      <c r="A24" s="1">
        <v>19</v>
      </c>
      <c r="B24" s="1" t="str">
        <f t="shared" si="5"/>
        <v>13</v>
      </c>
      <c r="C24" t="s">
        <v>110</v>
      </c>
      <c r="D24" t="str">
        <f t="shared" si="6"/>
        <v>SX1276_LoRa_REG_RX_NB_BYTES</v>
      </c>
      <c r="G24" t="str">
        <f t="shared" si="7"/>
        <v xml:space="preserve">#define SX1276_LoRa_REG_RX_NB_BYTES 0x13</v>
      </c>
    </row>
    <row r="25">
      <c r="A25" s="1">
        <v>20</v>
      </c>
      <c r="B25" s="1" t="str">
        <f t="shared" si="5"/>
        <v>14</v>
      </c>
      <c r="C25" t="s">
        <v>111</v>
      </c>
      <c r="D25" t="str">
        <f t="shared" si="6"/>
        <v>SX1276_LoRa_REG_RX_HEADER_CNT_VALUE_MSB</v>
      </c>
      <c r="G25" t="str">
        <f t="shared" si="7"/>
        <v xml:space="preserve">#define SX1276_LoRa_REG_RX_HEADER_CNT_VALUE_MSB 0x14</v>
      </c>
    </row>
    <row r="26">
      <c r="A26" s="1">
        <v>21</v>
      </c>
      <c r="B26" s="1" t="str">
        <f t="shared" si="5"/>
        <v>15</v>
      </c>
      <c r="C26" t="s">
        <v>112</v>
      </c>
      <c r="D26" t="str">
        <f t="shared" si="6"/>
        <v>SX1276_LoRa_REG_RX_HEADER_CNT_VALUE_LSB</v>
      </c>
      <c r="G26" t="str">
        <f t="shared" si="7"/>
        <v xml:space="preserve">#define SX1276_LoRa_REG_RX_HEADER_CNT_VALUE_LSB 0x15</v>
      </c>
    </row>
    <row r="27">
      <c r="A27" s="1">
        <v>22</v>
      </c>
      <c r="B27" s="1" t="str">
        <f t="shared" si="5"/>
        <v>16</v>
      </c>
      <c r="C27" t="s">
        <v>113</v>
      </c>
      <c r="D27" t="str">
        <f t="shared" si="6"/>
        <v>SX1276_LoRa_REG_RX_PACKET_CNT_VALUE_MSB</v>
      </c>
      <c r="G27" t="str">
        <f t="shared" si="7"/>
        <v xml:space="preserve">#define SX1276_LoRa_REG_RX_PACKET_CNT_VALUE_MSB 0x16</v>
      </c>
    </row>
    <row r="28">
      <c r="A28" s="1">
        <v>23</v>
      </c>
      <c r="B28" s="1" t="str">
        <f t="shared" si="5"/>
        <v>17</v>
      </c>
      <c r="C28" t="s">
        <v>114</v>
      </c>
      <c r="D28" t="str">
        <f t="shared" si="6"/>
        <v>SX1276_LoRa_REG_RX_PACKET_CNT_VALUE_LSB</v>
      </c>
      <c r="G28" t="str">
        <f t="shared" si="7"/>
        <v xml:space="preserve">#define SX1276_LoRa_REG_RX_PACKET_CNT_VALUE_LSB 0x17</v>
      </c>
    </row>
    <row r="29">
      <c r="A29" s="1">
        <v>24</v>
      </c>
      <c r="B29" s="1" t="str">
        <f t="shared" si="5"/>
        <v>18</v>
      </c>
      <c r="C29" t="s">
        <v>115</v>
      </c>
      <c r="D29" t="str">
        <f t="shared" si="6"/>
        <v>SX1276_LoRa_REG_MODEM_STAT</v>
      </c>
      <c r="G29" t="str">
        <f t="shared" si="7"/>
        <v xml:space="preserve">#define SX1276_LoRa_REG_MODEM_STAT 0x18</v>
      </c>
    </row>
    <row r="30">
      <c r="A30" s="1">
        <v>25</v>
      </c>
      <c r="B30" s="1" t="str">
        <f t="shared" si="5"/>
        <v>19</v>
      </c>
      <c r="C30" t="s">
        <v>116</v>
      </c>
      <c r="D30" t="str">
        <f t="shared" si="6"/>
        <v>SX1276_LoRa_REG_PKT_SNR_VALUE</v>
      </c>
      <c r="G30" t="str">
        <f t="shared" si="7"/>
        <v xml:space="preserve">#define SX1276_LoRa_REG_PKT_SNR_VALUE 0x19</v>
      </c>
    </row>
    <row r="31">
      <c r="A31" s="1">
        <v>26</v>
      </c>
      <c r="B31" s="1" t="str">
        <f t="shared" si="5"/>
        <v>1A</v>
      </c>
      <c r="C31" t="s">
        <v>117</v>
      </c>
      <c r="D31" t="str">
        <f t="shared" si="6"/>
        <v>SX1276_LoRa_REG_PKT_RSSI_VALUE</v>
      </c>
      <c r="G31" t="str">
        <f t="shared" si="7"/>
        <v xml:space="preserve">#define SX1276_LoRa_REG_PKT_RSSI_VALUE 0x1A</v>
      </c>
    </row>
    <row r="32">
      <c r="A32" s="1">
        <v>27</v>
      </c>
      <c r="B32" s="1" t="str">
        <f t="shared" si="5"/>
        <v>1B</v>
      </c>
      <c r="C32" t="s">
        <v>118</v>
      </c>
      <c r="D32" t="str">
        <f t="shared" si="6"/>
        <v>SX1276_LoRa_REG_RSSI_VALUE</v>
      </c>
      <c r="G32" t="str">
        <f t="shared" si="7"/>
        <v xml:space="preserve">#define SX1276_LoRa_REG_RSSI_VALUE 0x1B</v>
      </c>
    </row>
    <row r="33">
      <c r="A33" s="1">
        <v>28</v>
      </c>
      <c r="B33" s="1" t="str">
        <f t="shared" si="5"/>
        <v>1C</v>
      </c>
      <c r="C33" t="s">
        <v>119</v>
      </c>
      <c r="D33" t="str">
        <f t="shared" si="6"/>
        <v>SX1276_LoRa_REG_HOP_CHANNEL</v>
      </c>
      <c r="G33" t="str">
        <f t="shared" si="7"/>
        <v xml:space="preserve">#define SX1276_LoRa_REG_HOP_CHANNEL 0x1C</v>
      </c>
    </row>
    <row r="34">
      <c r="A34" s="1">
        <v>29</v>
      </c>
      <c r="B34" s="1" t="str">
        <f t="shared" si="5"/>
        <v>1D</v>
      </c>
      <c r="C34" t="s">
        <v>120</v>
      </c>
      <c r="D34" t="str">
        <f t="shared" si="6"/>
        <v>SX1276_LoRa_REG_MODEM_CONFIG_1</v>
      </c>
      <c r="G34" t="str">
        <f t="shared" si="7"/>
        <v xml:space="preserve">#define SX1276_LoRa_REG_MODEM_CONFIG_1 0x1D</v>
      </c>
    </row>
    <row r="35">
      <c r="A35" s="1">
        <v>30</v>
      </c>
      <c r="B35" s="1" t="str">
        <f t="shared" si="5"/>
        <v>1E</v>
      </c>
      <c r="C35" t="s">
        <v>121</v>
      </c>
      <c r="D35" t="str">
        <f t="shared" si="6"/>
        <v>SX1276_LoRa_REG_MODEM_CONFIG_2</v>
      </c>
      <c r="G35" t="str">
        <f t="shared" si="7"/>
        <v xml:space="preserve">#define SX1276_LoRa_REG_MODEM_CONFIG_2 0x1E</v>
      </c>
    </row>
    <row r="36">
      <c r="A36" s="1">
        <v>31</v>
      </c>
      <c r="B36" s="1" t="str">
        <f t="shared" si="5"/>
        <v>1F</v>
      </c>
      <c r="C36" t="s">
        <v>122</v>
      </c>
      <c r="D36" t="str">
        <f t="shared" si="6"/>
        <v>SX1276_LoRa_REG_SYMB_TIMEOUT_LSB</v>
      </c>
      <c r="G36" t="str">
        <f t="shared" si="7"/>
        <v xml:space="preserve">#define SX1276_LoRa_REG_SYMB_TIMEOUT_LSB 0x1F</v>
      </c>
    </row>
    <row r="37">
      <c r="A37" s="1">
        <v>32</v>
      </c>
      <c r="B37" s="1" t="str">
        <f t="shared" si="5"/>
        <v>20</v>
      </c>
      <c r="C37" t="s">
        <v>123</v>
      </c>
      <c r="D37" t="str">
        <f t="shared" si="6"/>
        <v>SX1276_LoRa_REG_SYMB_PREAMBLE_MSB</v>
      </c>
      <c r="G37" t="str">
        <f t="shared" si="7"/>
        <v xml:space="preserve">#define SX1276_LoRa_REG_SYMB_PREAMBLE_MSB 0x20</v>
      </c>
    </row>
    <row r="38">
      <c r="A38" s="1">
        <v>33</v>
      </c>
      <c r="B38" s="1" t="str">
        <f t="shared" si="5"/>
        <v>21</v>
      </c>
      <c r="C38" t="s">
        <v>124</v>
      </c>
      <c r="D38" t="str">
        <f t="shared" si="6"/>
        <v>SX1276_LoRa_REG_SYMB_PREAMBLE_LSB</v>
      </c>
      <c r="G38" t="str">
        <f t="shared" si="7"/>
        <v xml:space="preserve">#define SX1276_LoRa_REG_SYMB_PREAMBLE_LSB 0x21</v>
      </c>
    </row>
    <row r="39">
      <c r="A39" s="1">
        <v>34</v>
      </c>
      <c r="B39" s="1" t="str">
        <f t="shared" si="5"/>
        <v>22</v>
      </c>
      <c r="C39" t="s">
        <v>125</v>
      </c>
      <c r="D39" t="str">
        <f t="shared" si="6"/>
        <v>SX1276_LoRa_REG_PAYLOAD_LENGTH</v>
      </c>
      <c r="G39" t="str">
        <f t="shared" si="7"/>
        <v xml:space="preserve">#define SX1276_LoRa_REG_PAYLOAD_LENGTH 0x22</v>
      </c>
    </row>
    <row r="40">
      <c r="A40" s="1">
        <v>35</v>
      </c>
      <c r="B40" s="1" t="str">
        <f t="shared" si="5"/>
        <v>23</v>
      </c>
      <c r="C40" t="s">
        <v>126</v>
      </c>
      <c r="D40" t="str">
        <f t="shared" si="6"/>
        <v>SX1276_LoRa_REG_MAX_PAYLOAD_LENGTH</v>
      </c>
      <c r="G40" t="str">
        <f t="shared" si="7"/>
        <v xml:space="preserve">#define SX1276_LoRa_REG_MAX_PAYLOAD_LENGTH 0x23</v>
      </c>
    </row>
    <row r="41">
      <c r="A41" s="1">
        <v>36</v>
      </c>
      <c r="B41" s="1" t="str">
        <f t="shared" si="5"/>
        <v>24</v>
      </c>
      <c r="C41" t="s">
        <v>127</v>
      </c>
      <c r="D41" t="str">
        <f t="shared" si="6"/>
        <v>SX1276_LoRa_REG_HOP_PERIOD</v>
      </c>
      <c r="G41" t="str">
        <f t="shared" si="7"/>
        <v xml:space="preserve">#define SX1276_LoRa_REG_HOP_PERIOD 0x24</v>
      </c>
    </row>
    <row r="42">
      <c r="A42" s="1">
        <v>37</v>
      </c>
      <c r="B42" s="1" t="str">
        <f t="shared" si="5"/>
        <v>25</v>
      </c>
      <c r="C42" t="s">
        <v>128</v>
      </c>
      <c r="D42" t="str">
        <f t="shared" si="6"/>
        <v>SX1276_LoRa_REG_FIFO_RX_BYTE_ADDR</v>
      </c>
      <c r="G42" t="str">
        <f t="shared" si="7"/>
        <v xml:space="preserve">#define SX1276_LoRa_REG_FIFO_RX_BYTE_ADDR 0x25</v>
      </c>
    </row>
    <row r="43">
      <c r="A43" s="1">
        <v>38</v>
      </c>
      <c r="B43" s="1" t="str">
        <f t="shared" si="5"/>
        <v>26</v>
      </c>
      <c r="C43" t="s">
        <v>129</v>
      </c>
      <c r="D43" t="str">
        <f t="shared" si="6"/>
        <v>SX1276_LoRa_REG_MODEM_CONFIG_3</v>
      </c>
      <c r="G43" t="str">
        <f t="shared" si="7"/>
        <v xml:space="preserve">#define SX1276_LoRa_REG_MODEM_CONFIG_3 0x26</v>
      </c>
    </row>
    <row r="44">
      <c r="A44" s="1">
        <v>39</v>
      </c>
      <c r="B44" s="1" t="str">
        <f t="shared" si="5"/>
        <v>27</v>
      </c>
      <c r="C44" t="s">
        <v>130</v>
      </c>
      <c r="D44" t="str">
        <f t="shared" si="6"/>
        <v>SX1276_LoRa_REG_PPM_CORRECTION</v>
      </c>
      <c r="G44" t="str">
        <f t="shared" si="7"/>
        <v xml:space="preserve">#define SX1276_LoRa_REG_PPM_CORRECTION 0x27</v>
      </c>
    </row>
    <row r="45">
      <c r="A45" s="1">
        <v>40</v>
      </c>
      <c r="B45" s="1" t="str">
        <f t="shared" si="5"/>
        <v>28</v>
      </c>
      <c r="C45" t="s">
        <v>131</v>
      </c>
      <c r="D45" t="str">
        <f t="shared" si="6"/>
        <v>SX1276_LoRa_REG_FEI_MSB</v>
      </c>
      <c r="G45" t="str">
        <f t="shared" si="7"/>
        <v xml:space="preserve">#define SX1276_LoRa_REG_FEI_MSB 0x28</v>
      </c>
    </row>
    <row r="46">
      <c r="A46" s="1">
        <v>41</v>
      </c>
      <c r="B46" s="1" t="str">
        <f t="shared" si="5"/>
        <v>29</v>
      </c>
      <c r="C46" t="s">
        <v>132</v>
      </c>
      <c r="D46" t="str">
        <f t="shared" si="6"/>
        <v>SX1276_LoRa_REG_FEI_MID</v>
      </c>
      <c r="G46" t="str">
        <f t="shared" si="7"/>
        <v xml:space="preserve">#define SX1276_LoRa_REG_FEI_MID 0x29</v>
      </c>
    </row>
    <row r="47">
      <c r="A47" s="1">
        <v>42</v>
      </c>
      <c r="B47" s="1" t="str">
        <f t="shared" si="5"/>
        <v>2A</v>
      </c>
      <c r="C47" t="s">
        <v>133</v>
      </c>
      <c r="D47" t="str">
        <f t="shared" si="6"/>
        <v>SX1276_LoRa_REG_FEI_LSB</v>
      </c>
      <c r="G47" t="str">
        <f t="shared" si="7"/>
        <v xml:space="preserve">#define SX1276_LoRa_REG_FEI_LSB 0x2A</v>
      </c>
    </row>
    <row r="48">
      <c r="A48" s="1">
        <v>44</v>
      </c>
      <c r="B48" s="1" t="str">
        <f t="shared" si="5"/>
        <v>2C</v>
      </c>
      <c r="C48" t="s">
        <v>134</v>
      </c>
      <c r="D48" t="str">
        <f t="shared" si="6"/>
        <v>SX1276_LoRa_REG_RSSI_WIDEBAND</v>
      </c>
      <c r="G48" t="str">
        <f t="shared" si="7"/>
        <v xml:space="preserve">#define SX1276_LoRa_REG_RSSI_WIDEBAND 0x2C</v>
      </c>
    </row>
    <row r="49">
      <c r="A49" s="1">
        <v>49</v>
      </c>
      <c r="B49" s="1" t="str">
        <f t="shared" si="5"/>
        <v>31</v>
      </c>
      <c r="C49" t="s">
        <v>135</v>
      </c>
      <c r="D49" t="str">
        <f t="shared" si="6"/>
        <v>SX1276_LoRa_REG_DETECT_OPTIMIZE</v>
      </c>
      <c r="G49" t="str">
        <f t="shared" si="7"/>
        <v xml:space="preserve">#define SX1276_LoRa_REG_DETECT_OPTIMIZE 0x31</v>
      </c>
    </row>
    <row r="50">
      <c r="A50" s="1">
        <v>51</v>
      </c>
      <c r="B50" s="1" t="str">
        <f t="shared" si="5"/>
        <v>33</v>
      </c>
      <c r="C50" t="s">
        <v>136</v>
      </c>
      <c r="D50" t="str">
        <f t="shared" si="6"/>
        <v>SX1276_LoRa_REG_INVERT_IQ</v>
      </c>
      <c r="G50" t="str">
        <f t="shared" si="7"/>
        <v xml:space="preserve">#define SX1276_LoRa_REG_INVERT_IQ 0x33</v>
      </c>
    </row>
    <row r="51">
      <c r="A51" s="1">
        <v>55</v>
      </c>
      <c r="B51" s="1" t="str">
        <f t="shared" si="5"/>
        <v>37</v>
      </c>
      <c r="C51" t="s">
        <v>137</v>
      </c>
      <c r="D51" t="str">
        <f t="shared" si="6"/>
        <v>SX1276_LoRa_REG_DETECTION_THRSEHOLD</v>
      </c>
      <c r="G51" t="str">
        <f t="shared" si="7"/>
        <v xml:space="preserve">#define SX1276_LoRa_REG_DETECTION_THRSEHOLD 0x37</v>
      </c>
    </row>
    <row r="52">
      <c r="A52" s="1">
        <v>57</v>
      </c>
      <c r="B52" s="1" t="str">
        <f t="shared" si="5"/>
        <v>39</v>
      </c>
      <c r="C52" t="s">
        <v>138</v>
      </c>
      <c r="D52" t="str">
        <f t="shared" si="6"/>
        <v>SX1276_LoRa_REG_SYNC_WORD</v>
      </c>
      <c r="G52" t="str">
        <f t="shared" si="7"/>
        <v xml:space="preserve">#define SX1276_LoRa_REG_SYNC_WORD 0x39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6" zoomScale="100" workbookViewId="0">
      <selection activeCell="G83" activeCellId="0" sqref="G83"/>
    </sheetView>
  </sheetViews>
  <sheetFormatPr defaultRowHeight="14.449999999999999"/>
  <cols>
    <col min="1" max="2" style="1" width="9.140625"/>
    <col bestFit="1" customWidth="1" min="3" max="3" width="28"/>
    <col bestFit="1" customWidth="1" min="4" max="4" width="50.7109375"/>
  </cols>
  <sheetData>
    <row r="1">
      <c r="C1" t="s">
        <v>12</v>
      </c>
      <c r="D1" t="s">
        <v>139</v>
      </c>
    </row>
    <row r="2">
      <c r="C2" t="s">
        <v>14</v>
      </c>
      <c r="D2" t="s">
        <v>94</v>
      </c>
    </row>
    <row r="3">
      <c r="C3" t="s">
        <v>24</v>
      </c>
      <c r="D3" t="s">
        <v>25</v>
      </c>
    </row>
    <row r="8">
      <c r="A8" s="1" t="s">
        <v>29</v>
      </c>
      <c r="B8" s="1" t="s">
        <v>28</v>
      </c>
      <c r="C8" s="1" t="s">
        <v>30</v>
      </c>
      <c r="D8" s="1" t="s">
        <v>31</v>
      </c>
      <c r="G8" s="1" t="s">
        <v>32</v>
      </c>
    </row>
    <row r="9">
      <c r="A9" s="1">
        <v>0</v>
      </c>
      <c r="B9" s="1" t="str">
        <f>DEC2HEX(A9)</f>
        <v>0</v>
      </c>
      <c r="C9" t="s">
        <v>95</v>
      </c>
      <c r="D9" t="str">
        <f>$D$1&amp;"_"&amp;C9</f>
        <v>SX1276_FSK_OOK_REG_FIFO</v>
      </c>
      <c r="G9" t="str">
        <f>$D$2&amp;" "&amp;D9&amp;" "&amp;$D$3&amp;B9</f>
        <v xml:space="preserve">#define SX1276_FSK_OOK_REG_FIFO 0x0</v>
      </c>
    </row>
    <row r="10">
      <c r="A10" s="1">
        <v>1</v>
      </c>
      <c r="B10" s="1" t="str">
        <f t="shared" ref="B10:B73" si="8">DEC2HEX(A10)</f>
        <v>1</v>
      </c>
      <c r="C10" t="s">
        <v>96</v>
      </c>
      <c r="D10" t="str">
        <f t="shared" ref="D10:D73" si="9">$D$1&amp;"_"&amp;C10</f>
        <v>SX1276_FSK_OOK_REG_OP_MODE</v>
      </c>
      <c r="G10" t="str">
        <f t="shared" ref="G10:G73" si="10">$D$2&amp;" "&amp;D10&amp;" "&amp;$D$3&amp;B10</f>
        <v xml:space="preserve">#define SX1276_FSK_OOK_REG_OP_MODE 0x1</v>
      </c>
    </row>
    <row r="11">
      <c r="A11" s="1">
        <v>2</v>
      </c>
      <c r="B11" s="1" t="str">
        <f t="shared" si="8"/>
        <v>2</v>
      </c>
      <c r="C11" t="s">
        <v>140</v>
      </c>
      <c r="D11" t="str">
        <f t="shared" si="9"/>
        <v>SX1276_FSK_OOK_REG_BIT_RATE_MSB</v>
      </c>
      <c r="G11" t="str">
        <f t="shared" si="10"/>
        <v xml:space="preserve">#define SX1276_FSK_OOK_REG_BIT_RATE_MSB 0x2</v>
      </c>
    </row>
    <row r="12">
      <c r="A12" s="1">
        <v>3</v>
      </c>
      <c r="B12" s="1" t="str">
        <f t="shared" si="8"/>
        <v>3</v>
      </c>
      <c r="C12" t="s">
        <v>141</v>
      </c>
      <c r="D12" t="str">
        <f t="shared" si="9"/>
        <v>SX1276_FSK_OOK_REG_BIT_RATE_LSB</v>
      </c>
      <c r="G12" t="str">
        <f t="shared" si="10"/>
        <v xml:space="preserve">#define SX1276_FSK_OOK_REG_BIT_RATE_LSB 0x3</v>
      </c>
    </row>
    <row r="13">
      <c r="A13" s="1">
        <v>4</v>
      </c>
      <c r="B13" s="1" t="str">
        <f t="shared" si="8"/>
        <v>4</v>
      </c>
      <c r="C13" t="s">
        <v>142</v>
      </c>
      <c r="D13" t="str">
        <f t="shared" si="9"/>
        <v>SX1276_FSK_OOK_REG_F_DEV_MSB</v>
      </c>
      <c r="G13" t="str">
        <f t="shared" si="10"/>
        <v xml:space="preserve">#define SX1276_FSK_OOK_REG_F_DEV_MSB 0x4</v>
      </c>
    </row>
    <row r="14">
      <c r="A14" s="1">
        <v>5</v>
      </c>
      <c r="B14" s="1" t="str">
        <f t="shared" si="8"/>
        <v>5</v>
      </c>
      <c r="C14" t="s">
        <v>143</v>
      </c>
      <c r="D14" t="str">
        <f t="shared" si="9"/>
        <v>SX1276_FSK_OOK_REG_F_DEV_LSB</v>
      </c>
      <c r="G14" t="str">
        <f t="shared" si="10"/>
        <v xml:space="preserve">#define SX1276_FSK_OOK_REG_F_DEV_LSB 0x5</v>
      </c>
    </row>
    <row r="15">
      <c r="A15" s="1">
        <v>6</v>
      </c>
      <c r="B15" s="1" t="str">
        <f t="shared" si="8"/>
        <v>6</v>
      </c>
      <c r="C15" t="s">
        <v>144</v>
      </c>
      <c r="D15" t="str">
        <f t="shared" si="9"/>
        <v>SX1276_FSK_OOK_REG_FRF_MSB</v>
      </c>
      <c r="G15" t="str">
        <f t="shared" si="10"/>
        <v xml:space="preserve">#define SX1276_FSK_OOK_REG_FRF_MSB 0x6</v>
      </c>
    </row>
    <row r="16">
      <c r="A16" s="1">
        <v>7</v>
      </c>
      <c r="B16" s="1" t="str">
        <f t="shared" si="8"/>
        <v>7</v>
      </c>
      <c r="C16" t="s">
        <v>145</v>
      </c>
      <c r="D16" t="str">
        <f t="shared" si="9"/>
        <v>SX1276_FSK_OOK_REG_FRF_MID</v>
      </c>
      <c r="G16" t="str">
        <f t="shared" si="10"/>
        <v xml:space="preserve">#define SX1276_FSK_OOK_REG_FRF_MID 0x7</v>
      </c>
    </row>
    <row r="17">
      <c r="A17" s="1">
        <v>8</v>
      </c>
      <c r="B17" s="1" t="str">
        <f t="shared" si="8"/>
        <v>8</v>
      </c>
      <c r="C17" s="5" t="s">
        <v>146</v>
      </c>
      <c r="D17" t="str">
        <f t="shared" si="9"/>
        <v>SX1276_FSK_OOK_REG_FRF_LSB</v>
      </c>
      <c r="G17" t="str">
        <f t="shared" si="10"/>
        <v xml:space="preserve">#define SX1276_FSK_OOK_REG_FRF_LSB 0x8</v>
      </c>
    </row>
    <row r="18">
      <c r="A18" s="1">
        <v>9</v>
      </c>
      <c r="B18" s="1" t="str">
        <f t="shared" si="8"/>
        <v>9</v>
      </c>
      <c r="C18" t="s">
        <v>100</v>
      </c>
      <c r="D18" t="str">
        <f t="shared" si="9"/>
        <v>SX1276_FSK_OOK_REG_PA_CONFIG</v>
      </c>
      <c r="G18" t="str">
        <f t="shared" si="10"/>
        <v xml:space="preserve">#define SX1276_FSK_OOK_REG_PA_CONFIG 0x9</v>
      </c>
    </row>
    <row r="19">
      <c r="A19" s="1">
        <v>10</v>
      </c>
      <c r="B19" s="1" t="str">
        <f t="shared" si="8"/>
        <v>A</v>
      </c>
      <c r="C19" t="s">
        <v>101</v>
      </c>
      <c r="D19" t="str">
        <f t="shared" si="9"/>
        <v>SX1276_FSK_OOK_REG_PA_RAMP</v>
      </c>
      <c r="G19" t="str">
        <f t="shared" si="10"/>
        <v xml:space="preserve">#define SX1276_FSK_OOK_REG_PA_RAMP 0xA</v>
      </c>
    </row>
    <row r="20">
      <c r="A20" s="1">
        <v>11</v>
      </c>
      <c r="B20" s="1" t="str">
        <f t="shared" si="8"/>
        <v>B</v>
      </c>
      <c r="C20" t="s">
        <v>102</v>
      </c>
      <c r="D20" t="str">
        <f t="shared" si="9"/>
        <v>SX1276_FSK_OOK_REG_OCP</v>
      </c>
      <c r="G20" t="str">
        <f t="shared" si="10"/>
        <v xml:space="preserve">#define SX1276_FSK_OOK_REG_OCP 0xB</v>
      </c>
    </row>
    <row r="21">
      <c r="A21" s="1">
        <v>12</v>
      </c>
      <c r="B21" s="1" t="str">
        <f t="shared" si="8"/>
        <v>C</v>
      </c>
      <c r="C21" t="s">
        <v>103</v>
      </c>
      <c r="D21" t="str">
        <f t="shared" si="9"/>
        <v>SX1276_FSK_OOK_REG_LNA</v>
      </c>
      <c r="G21" t="str">
        <f t="shared" si="10"/>
        <v xml:space="preserve">#define SX1276_FSK_OOK_REG_LNA 0xC</v>
      </c>
    </row>
    <row r="22">
      <c r="A22" s="1">
        <v>13</v>
      </c>
      <c r="B22" s="1" t="str">
        <f t="shared" si="8"/>
        <v>D</v>
      </c>
      <c r="C22" t="s">
        <v>147</v>
      </c>
      <c r="D22" t="str">
        <f t="shared" si="9"/>
        <v>SX1276_FSK_OOK_REG_RX_CONFIG</v>
      </c>
      <c r="G22" t="str">
        <f t="shared" si="10"/>
        <v xml:space="preserve">#define SX1276_FSK_OOK_REG_RX_CONFIG 0xD</v>
      </c>
    </row>
    <row r="23">
      <c r="A23" s="1">
        <v>14</v>
      </c>
      <c r="B23" s="1" t="str">
        <f t="shared" si="8"/>
        <v>E</v>
      </c>
      <c r="C23" t="s">
        <v>148</v>
      </c>
      <c r="D23" t="str">
        <f t="shared" si="9"/>
        <v>SX1276_FSK_OOK_REG_RSSI_CONFIG</v>
      </c>
      <c r="G23" t="str">
        <f t="shared" si="10"/>
        <v xml:space="preserve">#define SX1276_FSK_OOK_REG_RSSI_CONFIG 0xE</v>
      </c>
    </row>
    <row r="24">
      <c r="A24" s="1">
        <v>15</v>
      </c>
      <c r="B24" s="1" t="str">
        <f t="shared" si="8"/>
        <v>F</v>
      </c>
      <c r="C24" t="s">
        <v>149</v>
      </c>
      <c r="D24" t="str">
        <f t="shared" si="9"/>
        <v>SX1276_FSK_OOK_REG_RSSI_COLLISION</v>
      </c>
      <c r="G24" t="str">
        <f t="shared" si="10"/>
        <v xml:space="preserve">#define SX1276_FSK_OOK_REG_RSSI_COLLISION 0xF</v>
      </c>
    </row>
    <row r="25">
      <c r="A25" s="1">
        <v>16</v>
      </c>
      <c r="B25" s="1" t="str">
        <f t="shared" si="8"/>
        <v>10</v>
      </c>
      <c r="C25" t="s">
        <v>150</v>
      </c>
      <c r="D25" t="str">
        <f t="shared" si="9"/>
        <v>SX1276_FSK_OOK_REG_RSSI_THRESH</v>
      </c>
      <c r="G25" t="str">
        <f t="shared" si="10"/>
        <v xml:space="preserve">#define SX1276_FSK_OOK_REG_RSSI_THRESH 0x10</v>
      </c>
    </row>
    <row r="26">
      <c r="A26" s="1">
        <v>17</v>
      </c>
      <c r="B26" s="1" t="str">
        <f t="shared" si="8"/>
        <v>11</v>
      </c>
      <c r="C26" t="s">
        <v>118</v>
      </c>
      <c r="D26" t="str">
        <f t="shared" si="9"/>
        <v>SX1276_FSK_OOK_REG_RSSI_VALUE</v>
      </c>
      <c r="G26" t="str">
        <f t="shared" si="10"/>
        <v xml:space="preserve">#define SX1276_FSK_OOK_REG_RSSI_VALUE 0x11</v>
      </c>
    </row>
    <row r="27">
      <c r="A27" s="1">
        <v>18</v>
      </c>
      <c r="B27" s="1" t="str">
        <f t="shared" si="8"/>
        <v>12</v>
      </c>
      <c r="C27" t="s">
        <v>151</v>
      </c>
      <c r="D27" t="str">
        <f t="shared" si="9"/>
        <v>SX1276_FSK_OOK_REG_RX_BW</v>
      </c>
      <c r="G27" t="str">
        <f t="shared" si="10"/>
        <v xml:space="preserve">#define SX1276_FSK_OOK_REG_RX_BW 0x12</v>
      </c>
    </row>
    <row r="28">
      <c r="A28" s="1">
        <v>19</v>
      </c>
      <c r="B28" s="1" t="str">
        <f t="shared" si="8"/>
        <v>13</v>
      </c>
      <c r="C28" t="s">
        <v>152</v>
      </c>
      <c r="D28" t="str">
        <f t="shared" si="9"/>
        <v>SX1276_FSK_OOK_REG_AFC_BW</v>
      </c>
      <c r="G28" t="str">
        <f t="shared" si="10"/>
        <v xml:space="preserve">#define SX1276_FSK_OOK_REG_AFC_BW 0x13</v>
      </c>
    </row>
    <row r="29">
      <c r="A29" s="1">
        <v>20</v>
      </c>
      <c r="B29" s="1" t="str">
        <f t="shared" si="8"/>
        <v>14</v>
      </c>
      <c r="C29" t="s">
        <v>153</v>
      </c>
      <c r="D29" t="str">
        <f t="shared" si="9"/>
        <v>SX1276_FSK_OOK_REG_OOK_PEAK</v>
      </c>
      <c r="G29" t="str">
        <f t="shared" si="10"/>
        <v xml:space="preserve">#define SX1276_FSK_OOK_REG_OOK_PEAK 0x14</v>
      </c>
    </row>
    <row r="30">
      <c r="A30" s="1">
        <v>21</v>
      </c>
      <c r="B30" s="1" t="str">
        <f t="shared" si="8"/>
        <v>15</v>
      </c>
      <c r="C30" t="s">
        <v>154</v>
      </c>
      <c r="D30" t="str">
        <f t="shared" si="9"/>
        <v>SX1276_FSK_OOK_REG_OOK_FIX</v>
      </c>
      <c r="G30" t="str">
        <f t="shared" si="10"/>
        <v xml:space="preserve">#define SX1276_FSK_OOK_REG_OOK_FIX 0x15</v>
      </c>
    </row>
    <row r="31">
      <c r="A31" s="1">
        <v>22</v>
      </c>
      <c r="B31" s="1" t="str">
        <f t="shared" si="8"/>
        <v>16</v>
      </c>
      <c r="C31" t="s">
        <v>155</v>
      </c>
      <c r="D31" t="str">
        <f t="shared" si="9"/>
        <v>SX1276_FSK_OOK_REG_OOK_AVG</v>
      </c>
      <c r="G31" t="str">
        <f t="shared" si="10"/>
        <v xml:space="preserve">#define SX1276_FSK_OOK_REG_OOK_AVG 0x16</v>
      </c>
    </row>
    <row r="32">
      <c r="A32" s="1">
        <v>26</v>
      </c>
      <c r="B32" s="1" t="str">
        <f t="shared" si="8"/>
        <v>1A</v>
      </c>
      <c r="C32" t="s">
        <v>156</v>
      </c>
      <c r="D32" t="str">
        <f t="shared" si="9"/>
        <v>SX1276_FSK_OOK_REG_AFC_FEI</v>
      </c>
      <c r="G32" t="str">
        <f t="shared" si="10"/>
        <v xml:space="preserve">#define SX1276_FSK_OOK_REG_AFC_FEI 0x1A</v>
      </c>
    </row>
    <row r="33">
      <c r="A33" s="1">
        <v>27</v>
      </c>
      <c r="B33" s="1" t="str">
        <f t="shared" si="8"/>
        <v>1B</v>
      </c>
      <c r="C33" t="s">
        <v>157</v>
      </c>
      <c r="D33" t="str">
        <f t="shared" si="9"/>
        <v>SX1276_FSK_OOK_REG_AFC_MSB</v>
      </c>
      <c r="G33" t="str">
        <f t="shared" si="10"/>
        <v xml:space="preserve">#define SX1276_FSK_OOK_REG_AFC_MSB 0x1B</v>
      </c>
    </row>
    <row r="34">
      <c r="A34" s="1">
        <v>28</v>
      </c>
      <c r="B34" s="1" t="str">
        <f t="shared" si="8"/>
        <v>1C</v>
      </c>
      <c r="C34" t="s">
        <v>158</v>
      </c>
      <c r="D34" t="str">
        <f t="shared" si="9"/>
        <v>SX1276_FSK_OOK_REG_AFC_LSB</v>
      </c>
      <c r="G34" t="str">
        <f t="shared" si="10"/>
        <v xml:space="preserve">#define SX1276_FSK_OOK_REG_AFC_LSB 0x1C</v>
      </c>
    </row>
    <row r="35">
      <c r="A35" s="1">
        <v>29</v>
      </c>
      <c r="B35" s="1" t="str">
        <f t="shared" si="8"/>
        <v>1D</v>
      </c>
      <c r="C35" t="s">
        <v>131</v>
      </c>
      <c r="D35" t="str">
        <f t="shared" si="9"/>
        <v>SX1276_FSK_OOK_REG_FEI_MSB</v>
      </c>
      <c r="G35" t="str">
        <f t="shared" si="10"/>
        <v xml:space="preserve">#define SX1276_FSK_OOK_REG_FEI_MSB 0x1D</v>
      </c>
    </row>
    <row r="36">
      <c r="A36" s="1">
        <v>30</v>
      </c>
      <c r="B36" s="1" t="str">
        <f t="shared" si="8"/>
        <v>1E</v>
      </c>
      <c r="C36" t="s">
        <v>133</v>
      </c>
      <c r="D36" t="str">
        <f t="shared" si="9"/>
        <v>SX1276_FSK_OOK_REG_FEI_LSB</v>
      </c>
      <c r="G36" t="str">
        <f t="shared" si="10"/>
        <v xml:space="preserve">#define SX1276_FSK_OOK_REG_FEI_LSB 0x1E</v>
      </c>
    </row>
    <row r="37">
      <c r="A37" s="1">
        <v>31</v>
      </c>
      <c r="B37" s="1" t="str">
        <f t="shared" si="8"/>
        <v>1F</v>
      </c>
      <c r="C37" t="s">
        <v>159</v>
      </c>
      <c r="D37" t="str">
        <f t="shared" si="9"/>
        <v>SX1276_FSK_OOK_REG_PREAMBLE_DETECT</v>
      </c>
      <c r="G37" t="str">
        <f t="shared" si="10"/>
        <v xml:space="preserve">#define SX1276_FSK_OOK_REG_PREAMBLE_DETECT 0x1F</v>
      </c>
    </row>
    <row r="38">
      <c r="A38" s="1">
        <v>32</v>
      </c>
      <c r="B38" s="1" t="str">
        <f t="shared" si="8"/>
        <v>20</v>
      </c>
      <c r="C38" t="s">
        <v>160</v>
      </c>
      <c r="D38" t="str">
        <f t="shared" si="9"/>
        <v>SX1276_FSK_OOK_REG_RX_TIMEOUT_1</v>
      </c>
      <c r="G38" t="str">
        <f t="shared" si="10"/>
        <v xml:space="preserve">#define SX1276_FSK_OOK_REG_RX_TIMEOUT_1 0x20</v>
      </c>
    </row>
    <row r="39">
      <c r="A39" s="1">
        <v>33</v>
      </c>
      <c r="B39" s="1" t="str">
        <f t="shared" si="8"/>
        <v>21</v>
      </c>
      <c r="C39" t="s">
        <v>161</v>
      </c>
      <c r="D39" t="str">
        <f t="shared" si="9"/>
        <v>SX1276_FSK_OOK_REG_RX_TIMEOUT_2</v>
      </c>
      <c r="G39" t="str">
        <f t="shared" si="10"/>
        <v xml:space="preserve">#define SX1276_FSK_OOK_REG_RX_TIMEOUT_2 0x21</v>
      </c>
    </row>
    <row r="40">
      <c r="A40" s="1">
        <v>34</v>
      </c>
      <c r="B40" s="1" t="str">
        <f t="shared" si="8"/>
        <v>22</v>
      </c>
      <c r="C40" t="s">
        <v>162</v>
      </c>
      <c r="D40" t="str">
        <f t="shared" si="9"/>
        <v>SX1276_FSK_OOK_REG_RX_TIMEOUT_3</v>
      </c>
      <c r="G40" t="str">
        <f t="shared" si="10"/>
        <v xml:space="preserve">#define SX1276_FSK_OOK_REG_RX_TIMEOUT_3 0x22</v>
      </c>
    </row>
    <row r="41">
      <c r="A41" s="1">
        <v>35</v>
      </c>
      <c r="B41" s="1" t="str">
        <f t="shared" si="8"/>
        <v>23</v>
      </c>
      <c r="C41" t="s">
        <v>163</v>
      </c>
      <c r="D41" t="str">
        <f t="shared" si="9"/>
        <v>SX1276_FSK_OOK_REG_RX_DELAY</v>
      </c>
      <c r="G41" t="str">
        <f t="shared" si="10"/>
        <v xml:space="preserve">#define SX1276_FSK_OOK_REG_RX_DELAY 0x23</v>
      </c>
    </row>
    <row r="42">
      <c r="A42" s="1">
        <v>36</v>
      </c>
      <c r="B42" s="1" t="str">
        <f t="shared" si="8"/>
        <v>24</v>
      </c>
      <c r="C42" t="s">
        <v>164</v>
      </c>
      <c r="D42" t="str">
        <f t="shared" si="9"/>
        <v>SX1276_FSK_OOK_REG_REG_OSC</v>
      </c>
      <c r="G42" t="str">
        <f t="shared" si="10"/>
        <v xml:space="preserve">#define SX1276_FSK_OOK_REG_REG_OSC 0x24</v>
      </c>
    </row>
    <row r="43">
      <c r="A43" s="1">
        <v>37</v>
      </c>
      <c r="B43" s="1" t="str">
        <f t="shared" si="8"/>
        <v>25</v>
      </c>
      <c r="C43" t="s">
        <v>165</v>
      </c>
      <c r="D43" t="str">
        <f t="shared" si="9"/>
        <v>SX1276_FSK_OOK_REG_PREAMBLE_MSB</v>
      </c>
      <c r="G43" t="str">
        <f t="shared" si="10"/>
        <v xml:space="preserve">#define SX1276_FSK_OOK_REG_PREAMBLE_MSB 0x25</v>
      </c>
    </row>
    <row r="44">
      <c r="A44" s="1">
        <v>38</v>
      </c>
      <c r="B44" s="1" t="str">
        <f t="shared" si="8"/>
        <v>26</v>
      </c>
      <c r="C44" t="s">
        <v>166</v>
      </c>
      <c r="D44" t="str">
        <f t="shared" si="9"/>
        <v>SX1276_FSK_OOK_REG_PREAMBLE_LSB</v>
      </c>
      <c r="G44" t="str">
        <f t="shared" si="10"/>
        <v xml:space="preserve">#define SX1276_FSK_OOK_REG_PREAMBLE_LSB 0x26</v>
      </c>
    </row>
    <row r="45">
      <c r="A45" s="1">
        <v>39</v>
      </c>
      <c r="B45" s="1" t="str">
        <f t="shared" si="8"/>
        <v>27</v>
      </c>
      <c r="C45" t="s">
        <v>167</v>
      </c>
      <c r="D45" t="str">
        <f t="shared" si="9"/>
        <v>SX1276_FSK_OOK_REG_SYNC_CONFIG</v>
      </c>
      <c r="G45" t="str">
        <f t="shared" si="10"/>
        <v xml:space="preserve">#define SX1276_FSK_OOK_REG_SYNC_CONFIG 0x27</v>
      </c>
    </row>
    <row r="46">
      <c r="A46" s="1">
        <v>40</v>
      </c>
      <c r="B46" s="1" t="str">
        <f t="shared" si="8"/>
        <v>28</v>
      </c>
      <c r="C46" t="s">
        <v>168</v>
      </c>
      <c r="D46" t="str">
        <f t="shared" si="9"/>
        <v>SX1276_FSK_OOK_REG_SYNC_VALUE_1</v>
      </c>
      <c r="G46" t="str">
        <f t="shared" si="10"/>
        <v xml:space="preserve">#define SX1276_FSK_OOK_REG_SYNC_VALUE_1 0x28</v>
      </c>
    </row>
    <row r="47">
      <c r="A47" s="1">
        <v>41</v>
      </c>
      <c r="B47" s="1" t="str">
        <f t="shared" si="8"/>
        <v>29</v>
      </c>
      <c r="C47" t="s">
        <v>169</v>
      </c>
      <c r="D47" t="str">
        <f t="shared" si="9"/>
        <v>SX1276_FSK_OOK_REG_SYNC_VALUE_2</v>
      </c>
      <c r="G47" t="str">
        <f t="shared" si="10"/>
        <v xml:space="preserve">#define SX1276_FSK_OOK_REG_SYNC_VALUE_2 0x29</v>
      </c>
    </row>
    <row r="48">
      <c r="A48" s="1">
        <v>42</v>
      </c>
      <c r="B48" s="1" t="str">
        <f t="shared" si="8"/>
        <v>2A</v>
      </c>
      <c r="C48" t="s">
        <v>170</v>
      </c>
      <c r="D48" t="str">
        <f t="shared" si="9"/>
        <v>SX1276_FSK_OOK_REG_SYNC_VALUE_3</v>
      </c>
      <c r="G48" t="str">
        <f t="shared" si="10"/>
        <v xml:space="preserve">#define SX1276_FSK_OOK_REG_SYNC_VALUE_3 0x2A</v>
      </c>
    </row>
    <row r="49">
      <c r="A49" s="1">
        <v>43</v>
      </c>
      <c r="B49" s="1" t="str">
        <f t="shared" si="8"/>
        <v>2B</v>
      </c>
      <c r="C49" t="s">
        <v>171</v>
      </c>
      <c r="D49" t="str">
        <f t="shared" si="9"/>
        <v>SX1276_FSK_OOK_REG_SYNC_VALUE_4</v>
      </c>
      <c r="G49" t="str">
        <f t="shared" si="10"/>
        <v xml:space="preserve">#define SX1276_FSK_OOK_REG_SYNC_VALUE_4 0x2B</v>
      </c>
    </row>
    <row r="50">
      <c r="A50" s="1">
        <v>44</v>
      </c>
      <c r="B50" s="1" t="str">
        <f t="shared" si="8"/>
        <v>2C</v>
      </c>
      <c r="C50" t="s">
        <v>172</v>
      </c>
      <c r="D50" t="str">
        <f t="shared" si="9"/>
        <v>SX1276_FSK_OOK_REG_SYNC_VALUE_5</v>
      </c>
      <c r="G50" t="str">
        <f t="shared" si="10"/>
        <v xml:space="preserve">#define SX1276_FSK_OOK_REG_SYNC_VALUE_5 0x2C</v>
      </c>
    </row>
    <row r="51">
      <c r="A51" s="1">
        <v>45</v>
      </c>
      <c r="B51" s="1" t="str">
        <f t="shared" si="8"/>
        <v>2D</v>
      </c>
      <c r="C51" t="s">
        <v>173</v>
      </c>
      <c r="D51" t="str">
        <f t="shared" si="9"/>
        <v>SX1276_FSK_OOK_REG_SYNC_VALUE_6</v>
      </c>
      <c r="G51" t="str">
        <f t="shared" si="10"/>
        <v xml:space="preserve">#define SX1276_FSK_OOK_REG_SYNC_VALUE_6 0x2D</v>
      </c>
    </row>
    <row r="52">
      <c r="A52" s="1">
        <v>46</v>
      </c>
      <c r="B52" s="1" t="str">
        <f t="shared" si="8"/>
        <v>2E</v>
      </c>
      <c r="C52" t="s">
        <v>174</v>
      </c>
      <c r="D52" t="str">
        <f t="shared" si="9"/>
        <v>SX1276_FSK_OOK_REG_SYNC_VALUE_7</v>
      </c>
      <c r="G52" t="str">
        <f t="shared" si="10"/>
        <v xml:space="preserve">#define SX1276_FSK_OOK_REG_SYNC_VALUE_7 0x2E</v>
      </c>
    </row>
    <row r="53">
      <c r="A53" s="1">
        <v>47</v>
      </c>
      <c r="B53" s="1" t="str">
        <f t="shared" si="8"/>
        <v>2F</v>
      </c>
      <c r="C53" t="s">
        <v>175</v>
      </c>
      <c r="D53" t="str">
        <f t="shared" si="9"/>
        <v>SX1276_FSK_OOK_REG_SYNC_VALUE_8</v>
      </c>
      <c r="G53" t="str">
        <f t="shared" si="10"/>
        <v xml:space="preserve">#define SX1276_FSK_OOK_REG_SYNC_VALUE_8 0x2F</v>
      </c>
    </row>
    <row r="54">
      <c r="A54" s="1">
        <v>48</v>
      </c>
      <c r="B54" s="1" t="str">
        <f t="shared" si="8"/>
        <v>30</v>
      </c>
      <c r="C54" t="s">
        <v>176</v>
      </c>
      <c r="D54" t="str">
        <f t="shared" si="9"/>
        <v>SX1276_FSK_OOK_REG_PACKET_CONFIG_1</v>
      </c>
      <c r="G54" t="str">
        <f t="shared" si="10"/>
        <v xml:space="preserve">#define SX1276_FSK_OOK_REG_PACKET_CONFIG_1 0x30</v>
      </c>
    </row>
    <row r="55">
      <c r="A55" s="1">
        <v>49</v>
      </c>
      <c r="B55" s="1" t="str">
        <f t="shared" si="8"/>
        <v>31</v>
      </c>
      <c r="C55" t="s">
        <v>177</v>
      </c>
      <c r="D55" t="str">
        <f t="shared" si="9"/>
        <v>SX1276_FSK_OOK_REG_PACKET_CONFIG_2</v>
      </c>
      <c r="G55" t="str">
        <f t="shared" si="10"/>
        <v xml:space="preserve">#define SX1276_FSK_OOK_REG_PACKET_CONFIG_2 0x31</v>
      </c>
    </row>
    <row r="56">
      <c r="A56" s="1">
        <v>50</v>
      </c>
      <c r="B56" s="1" t="str">
        <f t="shared" si="8"/>
        <v>32</v>
      </c>
      <c r="C56" t="s">
        <v>125</v>
      </c>
      <c r="D56" t="str">
        <f t="shared" si="9"/>
        <v>SX1276_FSK_OOK_REG_PAYLOAD_LENGTH</v>
      </c>
      <c r="G56" t="str">
        <f t="shared" si="10"/>
        <v xml:space="preserve">#define SX1276_FSK_OOK_REG_PAYLOAD_LENGTH 0x32</v>
      </c>
    </row>
    <row r="57">
      <c r="A57" s="1">
        <v>51</v>
      </c>
      <c r="B57" s="1" t="str">
        <f t="shared" si="8"/>
        <v>33</v>
      </c>
      <c r="C57" t="s">
        <v>178</v>
      </c>
      <c r="D57" t="str">
        <f t="shared" si="9"/>
        <v>SX1276_FSK_OOK_REG_NODE_ADDRS</v>
      </c>
      <c r="G57" t="str">
        <f t="shared" si="10"/>
        <v xml:space="preserve">#define SX1276_FSK_OOK_REG_NODE_ADDRS 0x33</v>
      </c>
    </row>
    <row r="58">
      <c r="A58" s="1">
        <v>52</v>
      </c>
      <c r="B58" s="1" t="str">
        <f t="shared" si="8"/>
        <v>34</v>
      </c>
      <c r="C58" t="s">
        <v>179</v>
      </c>
      <c r="D58" t="str">
        <f t="shared" si="9"/>
        <v>SX1276_FSK_OOK_REG_BROADCAST_ADDRS</v>
      </c>
      <c r="G58" t="str">
        <f t="shared" si="10"/>
        <v xml:space="preserve">#define SX1276_FSK_OOK_REG_BROADCAST_ADDRS 0x34</v>
      </c>
    </row>
    <row r="59">
      <c r="A59" s="1">
        <v>53</v>
      </c>
      <c r="B59" s="1" t="str">
        <f t="shared" si="8"/>
        <v>35</v>
      </c>
      <c r="C59" t="s">
        <v>180</v>
      </c>
      <c r="D59" t="str">
        <f t="shared" si="9"/>
        <v>SX1276_FSK_OOK_REG_FIFO_THRESH</v>
      </c>
      <c r="G59" t="str">
        <f t="shared" si="10"/>
        <v xml:space="preserve">#define SX1276_FSK_OOK_REG_FIFO_THRESH 0x35</v>
      </c>
    </row>
    <row r="60">
      <c r="A60" s="1">
        <v>54</v>
      </c>
      <c r="B60" s="1" t="str">
        <f t="shared" si="8"/>
        <v>36</v>
      </c>
      <c r="C60" t="s">
        <v>181</v>
      </c>
      <c r="D60" t="str">
        <f t="shared" si="9"/>
        <v>SX1276_FSK_OOK_REG_SEQ_CONFIG_1</v>
      </c>
      <c r="G60" t="str">
        <f t="shared" si="10"/>
        <v xml:space="preserve">#define SX1276_FSK_OOK_REG_SEQ_CONFIG_1 0x36</v>
      </c>
    </row>
    <row r="61">
      <c r="A61" s="1">
        <v>55</v>
      </c>
      <c r="B61" s="1" t="str">
        <f t="shared" si="8"/>
        <v>37</v>
      </c>
      <c r="C61" t="s">
        <v>182</v>
      </c>
      <c r="D61" t="str">
        <f t="shared" si="9"/>
        <v>SX1276_FSK_OOK_REG_SEQ_CONFIG_2</v>
      </c>
      <c r="G61" t="str">
        <f t="shared" si="10"/>
        <v xml:space="preserve">#define SX1276_FSK_OOK_REG_SEQ_CONFIG_2 0x37</v>
      </c>
    </row>
    <row r="62">
      <c r="A62" s="1">
        <v>56</v>
      </c>
      <c r="B62" s="1" t="str">
        <f t="shared" si="8"/>
        <v>38</v>
      </c>
      <c r="C62" t="s">
        <v>183</v>
      </c>
      <c r="D62" t="str">
        <f t="shared" si="9"/>
        <v>SX1276_FSK_OOK_REG_TIMER_RESOL</v>
      </c>
      <c r="G62" t="str">
        <f t="shared" si="10"/>
        <v xml:space="preserve">#define SX1276_FSK_OOK_REG_TIMER_RESOL 0x38</v>
      </c>
    </row>
    <row r="63">
      <c r="A63" s="1">
        <v>57</v>
      </c>
      <c r="B63" s="1" t="str">
        <f t="shared" si="8"/>
        <v>39</v>
      </c>
      <c r="C63" t="s">
        <v>184</v>
      </c>
      <c r="D63" t="str">
        <f t="shared" si="9"/>
        <v>SX1276_FSK_OOK_REG_TIMER_1_COEF</v>
      </c>
      <c r="G63" t="str">
        <f t="shared" si="10"/>
        <v xml:space="preserve">#define SX1276_FSK_OOK_REG_TIMER_1_COEF 0x39</v>
      </c>
    </row>
    <row r="64">
      <c r="A64" s="1">
        <v>58</v>
      </c>
      <c r="B64" s="1" t="str">
        <f t="shared" si="8"/>
        <v>3A</v>
      </c>
      <c r="C64" t="s">
        <v>185</v>
      </c>
      <c r="D64" t="str">
        <f t="shared" si="9"/>
        <v>SX1276_FSK_OOK_REG_TIMER_2_COEF</v>
      </c>
      <c r="G64" t="str">
        <f t="shared" si="10"/>
        <v xml:space="preserve">#define SX1276_FSK_OOK_REG_TIMER_2_COEF 0x3A</v>
      </c>
    </row>
    <row r="65">
      <c r="A65" s="1">
        <v>59</v>
      </c>
      <c r="B65" s="1" t="str">
        <f t="shared" si="8"/>
        <v>3B</v>
      </c>
      <c r="C65" t="s">
        <v>186</v>
      </c>
      <c r="D65" t="str">
        <f t="shared" si="9"/>
        <v>SX1276_FSK_OOK_REG_IMAGE_CAL</v>
      </c>
      <c r="G65" t="str">
        <f t="shared" si="10"/>
        <v xml:space="preserve">#define SX1276_FSK_OOK_REG_IMAGE_CAL 0x3B</v>
      </c>
    </row>
    <row r="66">
      <c r="A66" s="1">
        <v>60</v>
      </c>
      <c r="B66" s="1" t="str">
        <f t="shared" si="8"/>
        <v>3C</v>
      </c>
      <c r="C66" t="s">
        <v>187</v>
      </c>
      <c r="D66" t="str">
        <f t="shared" si="9"/>
        <v>SX1276_FSK_OOK_REG_TEMP</v>
      </c>
      <c r="G66" t="str">
        <f t="shared" si="10"/>
        <v xml:space="preserve">#define SX1276_FSK_OOK_REG_TEMP 0x3C</v>
      </c>
    </row>
    <row r="67">
      <c r="A67" s="1">
        <v>61</v>
      </c>
      <c r="B67" s="1" t="str">
        <f t="shared" si="8"/>
        <v>3D</v>
      </c>
      <c r="C67" t="s">
        <v>188</v>
      </c>
      <c r="D67" t="str">
        <f t="shared" si="9"/>
        <v>SX1276_FSK_OOK_REG_LOW_BAT</v>
      </c>
      <c r="G67" t="str">
        <f t="shared" si="10"/>
        <v xml:space="preserve">#define SX1276_FSK_OOK_REG_LOW_BAT 0x3D</v>
      </c>
    </row>
    <row r="68">
      <c r="A68" s="1">
        <v>62</v>
      </c>
      <c r="B68" s="1" t="str">
        <f t="shared" si="8"/>
        <v>3E</v>
      </c>
      <c r="C68" t="s">
        <v>189</v>
      </c>
      <c r="D68" t="str">
        <f t="shared" si="9"/>
        <v>SX1276_FSK_OOK_REG_IRQ_FLAGS_1</v>
      </c>
      <c r="G68" t="str">
        <f t="shared" si="10"/>
        <v xml:space="preserve">#define SX1276_FSK_OOK_REG_IRQ_FLAGS_1 0x3E</v>
      </c>
    </row>
    <row r="69">
      <c r="A69" s="1">
        <v>63</v>
      </c>
      <c r="B69" s="1" t="str">
        <f t="shared" si="8"/>
        <v>3F</v>
      </c>
      <c r="C69" t="s">
        <v>190</v>
      </c>
      <c r="D69" t="str">
        <f t="shared" si="9"/>
        <v>SX1276_FSK_OOK_REG_IRQ_FLAGS_2</v>
      </c>
      <c r="G69" t="str">
        <f t="shared" si="10"/>
        <v xml:space="preserve">#define SX1276_FSK_OOK_REG_IRQ_FLAGS_2 0x3F</v>
      </c>
    </row>
    <row r="70">
      <c r="A70" s="1">
        <v>64</v>
      </c>
      <c r="B70" s="1" t="str">
        <f t="shared" si="8"/>
        <v>40</v>
      </c>
      <c r="C70" t="s">
        <v>191</v>
      </c>
      <c r="D70" t="str">
        <f t="shared" si="9"/>
        <v>SX1276_FSK_OOK_REG_DIO_MAPPING_1</v>
      </c>
      <c r="G70" t="str">
        <f t="shared" si="10"/>
        <v xml:space="preserve">#define SX1276_FSK_OOK_REG_DIO_MAPPING_1 0x40</v>
      </c>
    </row>
    <row r="71">
      <c r="A71" s="1">
        <v>65</v>
      </c>
      <c r="B71" s="1" t="str">
        <f t="shared" si="8"/>
        <v>41</v>
      </c>
      <c r="C71" t="s">
        <v>192</v>
      </c>
      <c r="D71" t="str">
        <f t="shared" si="9"/>
        <v>SX1276_FSK_OOK_REG_DIO_MAPPING_2</v>
      </c>
      <c r="G71" t="str">
        <f t="shared" si="10"/>
        <v xml:space="preserve">#define SX1276_FSK_OOK_REG_DIO_MAPPING_2 0x41</v>
      </c>
    </row>
    <row r="72">
      <c r="A72" s="1">
        <v>66</v>
      </c>
      <c r="B72" s="1" t="str">
        <f t="shared" si="8"/>
        <v>42</v>
      </c>
      <c r="C72" t="s">
        <v>193</v>
      </c>
      <c r="D72" t="str">
        <f t="shared" si="9"/>
        <v>SX1276_FSK_OOK_REG_VERSION</v>
      </c>
      <c r="G72" t="str">
        <f t="shared" si="10"/>
        <v xml:space="preserve">#define SX1276_FSK_OOK_REG_VERSION 0x42</v>
      </c>
    </row>
    <row r="73">
      <c r="A73" s="1">
        <v>68</v>
      </c>
      <c r="B73" s="1" t="str">
        <f t="shared" si="8"/>
        <v>44</v>
      </c>
      <c r="C73" t="s">
        <v>194</v>
      </c>
      <c r="D73" t="str">
        <f t="shared" si="9"/>
        <v>SX1276_FSK_OOK_REG_PLL_HOP</v>
      </c>
      <c r="G73" t="str">
        <f t="shared" si="10"/>
        <v xml:space="preserve">#define SX1276_FSK_OOK_REG_PLL_HOP 0x44</v>
      </c>
    </row>
    <row r="74">
      <c r="A74" s="1">
        <v>75</v>
      </c>
      <c r="B74" s="1" t="str">
        <f t="shared" ref="B74:B81" si="11">DEC2HEX(A74)</f>
        <v>4B</v>
      </c>
      <c r="C74" t="s">
        <v>195</v>
      </c>
      <c r="D74" t="str">
        <f t="shared" ref="D74:D82" si="12">$D$1&amp;"_"&amp;C74</f>
        <v>SX1276_FSK_OOK_REG_TCXO</v>
      </c>
      <c r="G74" t="str">
        <f t="shared" ref="G74:G82" si="13">$D$2&amp;" "&amp;D74&amp;" "&amp;$D$3&amp;B74</f>
        <v xml:space="preserve">#define SX1276_FSK_OOK_REG_TCXO 0x4B</v>
      </c>
    </row>
    <row r="75">
      <c r="A75" s="1">
        <v>77</v>
      </c>
      <c r="B75" s="1" t="str">
        <f t="shared" si="11"/>
        <v>4D</v>
      </c>
      <c r="C75" t="s">
        <v>196</v>
      </c>
      <c r="D75" t="str">
        <f t="shared" si="12"/>
        <v>SX1276_FSK_OOK_REG_PA_DAC</v>
      </c>
      <c r="G75" t="str">
        <f t="shared" si="13"/>
        <v xml:space="preserve">#define SX1276_FSK_OOK_REG_PA_DAC 0x4D</v>
      </c>
    </row>
    <row r="76">
      <c r="A76" s="1">
        <v>91</v>
      </c>
      <c r="B76" s="1" t="str">
        <f t="shared" si="11"/>
        <v>5B</v>
      </c>
      <c r="C76" t="s">
        <v>197</v>
      </c>
      <c r="D76" t="str">
        <f t="shared" si="12"/>
        <v>SX1276_FSK_OOK_REG_FORMER_TEMP</v>
      </c>
      <c r="G76" t="str">
        <f t="shared" si="13"/>
        <v xml:space="preserve">#define SX1276_FSK_OOK_REG_FORMER_TEMP 0x5B</v>
      </c>
    </row>
    <row r="77">
      <c r="A77" s="1">
        <v>93</v>
      </c>
      <c r="B77" s="1" t="str">
        <f t="shared" si="11"/>
        <v>5D</v>
      </c>
      <c r="C77" t="s">
        <v>198</v>
      </c>
      <c r="D77" t="str">
        <f t="shared" si="12"/>
        <v>SX1276_FSK_OOK_REG_BIT_RATE_FRAC</v>
      </c>
      <c r="G77" t="str">
        <f t="shared" si="13"/>
        <v xml:space="preserve">#define SX1276_FSK_OOK_REG_BIT_RATE_FRAC 0x5D</v>
      </c>
    </row>
    <row r="78">
      <c r="A78" s="1">
        <v>97</v>
      </c>
      <c r="B78" s="1" t="str">
        <f t="shared" si="11"/>
        <v>61</v>
      </c>
      <c r="C78" t="s">
        <v>199</v>
      </c>
      <c r="D78" t="str">
        <f t="shared" si="12"/>
        <v>SX1276_FSK_OOK_REG_AGC_REF</v>
      </c>
      <c r="G78" t="str">
        <f t="shared" si="13"/>
        <v xml:space="preserve">#define SX1276_FSK_OOK_REG_AGC_REF 0x61</v>
      </c>
    </row>
    <row r="79">
      <c r="A79" s="1">
        <v>98</v>
      </c>
      <c r="B79" s="1" t="str">
        <f t="shared" si="11"/>
        <v>62</v>
      </c>
      <c r="C79" t="s">
        <v>200</v>
      </c>
      <c r="D79" t="str">
        <f t="shared" si="12"/>
        <v>SX1276_FSK_OOK_REG_AGC_THRESH_1</v>
      </c>
      <c r="G79" t="str">
        <f t="shared" si="13"/>
        <v xml:space="preserve">#define SX1276_FSK_OOK_REG_AGC_THRESH_1 0x62</v>
      </c>
    </row>
    <row r="80">
      <c r="A80" s="1">
        <v>99</v>
      </c>
      <c r="B80" s="1" t="str">
        <f t="shared" si="11"/>
        <v>63</v>
      </c>
      <c r="C80" t="s">
        <v>201</v>
      </c>
      <c r="D80" t="str">
        <f t="shared" si="12"/>
        <v>SX1276_FSK_OOK_REG_AGC_THRESH_2</v>
      </c>
      <c r="G80" t="str">
        <f t="shared" si="13"/>
        <v xml:space="preserve">#define SX1276_FSK_OOK_REG_AGC_THRESH_2 0x63</v>
      </c>
    </row>
    <row r="81">
      <c r="A81" s="1">
        <v>100</v>
      </c>
      <c r="B81" s="1" t="str">
        <f t="shared" si="11"/>
        <v>64</v>
      </c>
      <c r="C81" t="s">
        <v>202</v>
      </c>
      <c r="D81" t="str">
        <f t="shared" si="12"/>
        <v>SX1276_FSK_OOK_REG_AGC_THRESH_3</v>
      </c>
      <c r="G81" t="str">
        <f t="shared" si="13"/>
        <v xml:space="preserve">#define SX1276_FSK_OOK_REG_AGC_THRESH_3 0x64</v>
      </c>
    </row>
    <row r="82">
      <c r="B82" s="1">
        <v>70</v>
      </c>
      <c r="C82" t="s">
        <v>203</v>
      </c>
      <c r="D82" t="str">
        <f t="shared" si="12"/>
        <v>SX1276_FSK_OOK_REG_HFF_ADDITIONAL_REG_PLL_HF</v>
      </c>
      <c r="G82" t="str">
        <f t="shared" si="13"/>
        <v xml:space="preserve">#define SX1276_FSK_OOK_REG_HFF_ADDITIONAL_REG_PLL_HF 0x70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24" activeCellId="0" sqref="A24"/>
    </sheetView>
  </sheetViews>
  <sheetFormatPr defaultRowHeight="14.25"/>
  <cols>
    <col bestFit="1" customWidth="1" min="3" max="3" width="14.85546875"/>
    <col bestFit="1" customWidth="1" min="4" max="4" width="15.140625"/>
    <col bestFit="1" customWidth="1" min="7" max="7" width="20.42578125"/>
    <col min="12" max="14" style="1" width="9.140625"/>
    <col bestFit="1" customWidth="1" min="15" max="15" width="41.140625"/>
    <col bestFit="1" customWidth="1" min="16" max="16" width="50.7109375"/>
  </cols>
  <sheetData>
    <row r="1">
      <c r="A1" t="s">
        <v>204</v>
      </c>
      <c r="O1" t="s">
        <v>12</v>
      </c>
      <c r="P1" t="s">
        <v>205</v>
      </c>
    </row>
    <row r="3">
      <c r="B3" t="s">
        <v>206</v>
      </c>
    </row>
    <row r="4">
      <c r="C4">
        <v>7</v>
      </c>
      <c r="D4">
        <v>6</v>
      </c>
      <c r="E4">
        <v>5</v>
      </c>
      <c r="F4">
        <v>4</v>
      </c>
      <c r="G4">
        <v>3</v>
      </c>
      <c r="H4">
        <v>2</v>
      </c>
      <c r="I4">
        <v>1</v>
      </c>
      <c r="J4">
        <v>0</v>
      </c>
      <c r="O4" t="s">
        <v>14</v>
      </c>
      <c r="P4" t="s">
        <v>94</v>
      </c>
    </row>
    <row r="5">
      <c r="C5" t="s">
        <v>207</v>
      </c>
      <c r="D5" t="s">
        <v>208</v>
      </c>
      <c r="E5" s="1" t="s">
        <v>22</v>
      </c>
      <c r="F5" s="1"/>
      <c r="G5" t="s">
        <v>209</v>
      </c>
      <c r="H5" s="1" t="s">
        <v>210</v>
      </c>
      <c r="I5" s="1"/>
      <c r="J5" s="1"/>
      <c r="O5" t="s">
        <v>24</v>
      </c>
      <c r="P5" t="s">
        <v>25</v>
      </c>
    </row>
    <row r="6">
      <c r="C6">
        <v>1</v>
      </c>
      <c r="D6">
        <v>0</v>
      </c>
    </row>
    <row r="8">
      <c r="C8" t="s">
        <v>211</v>
      </c>
    </row>
    <row r="10">
      <c r="C10" t="s">
        <v>207</v>
      </c>
      <c r="D10" t="s">
        <v>208</v>
      </c>
      <c r="E10" s="1" t="s">
        <v>22</v>
      </c>
      <c r="F10" s="1"/>
      <c r="G10" t="s">
        <v>209</v>
      </c>
      <c r="H10" s="1" t="s">
        <v>210</v>
      </c>
      <c r="I10" s="1"/>
      <c r="J10" s="1"/>
      <c r="L10" s="1" t="s">
        <v>27</v>
      </c>
      <c r="M10" s="1" t="s">
        <v>28</v>
      </c>
      <c r="N10" s="1" t="s">
        <v>29</v>
      </c>
      <c r="O10" s="1" t="s">
        <v>30</v>
      </c>
      <c r="P10" s="1" t="s">
        <v>31</v>
      </c>
      <c r="S10" s="1" t="s">
        <v>32</v>
      </c>
    </row>
    <row r="11">
      <c r="C11">
        <v>1</v>
      </c>
      <c r="D11">
        <v>0</v>
      </c>
      <c r="E11">
        <v>0</v>
      </c>
      <c r="F11">
        <v>0</v>
      </c>
      <c r="G11" s="2">
        <v>0</v>
      </c>
      <c r="H11">
        <v>0</v>
      </c>
      <c r="I11">
        <v>0</v>
      </c>
      <c r="J11">
        <v>0</v>
      </c>
      <c r="L11" s="1">
        <f t="shared" ref="L11:L25" si="14">VALUE(C11&amp;D11&amp;E11&amp;F11&amp;G11&amp;H11&amp;I11&amp;J11)</f>
        <v>10000000</v>
      </c>
      <c r="M11" s="1" t="str">
        <f t="shared" ref="M11:M25" si="15">BIN2HEX(L11)</f>
        <v>80</v>
      </c>
      <c r="N11" s="1">
        <f t="shared" ref="N11:N25" si="16">BIN2DEC(L11)</f>
        <v>128</v>
      </c>
      <c r="O11" t="s">
        <v>212</v>
      </c>
      <c r="P11" t="str">
        <f t="shared" ref="P11:P25" si="17">$P$1&amp;"_"&amp;O11</f>
        <v>SX1276_LoRa_REG_OP_MODE_HIGH_FREQUENCY_MODE</v>
      </c>
      <c r="S11" t="str">
        <f t="shared" ref="S11:S25" si="18">$P$4&amp;" "&amp;P11&amp;" "&amp;$P$5&amp;M11</f>
        <v xml:space="preserve">#define SX1276_LoRa_REG_OP_MODE_HIGH_FREQUENCY_MODE 0x80</v>
      </c>
    </row>
    <row r="12">
      <c r="C12">
        <v>1</v>
      </c>
      <c r="D12">
        <v>0</v>
      </c>
      <c r="E12">
        <v>0</v>
      </c>
      <c r="F12">
        <v>0</v>
      </c>
      <c r="G12" s="2">
        <v>1</v>
      </c>
      <c r="H12">
        <v>0</v>
      </c>
      <c r="I12">
        <v>0</v>
      </c>
      <c r="J12">
        <v>0</v>
      </c>
      <c r="L12" s="1">
        <f t="shared" si="14"/>
        <v>10001000</v>
      </c>
      <c r="M12" s="1" t="str">
        <f t="shared" si="15"/>
        <v>88</v>
      </c>
      <c r="N12" s="1">
        <f t="shared" si="16"/>
        <v>136</v>
      </c>
      <c r="O12" t="s">
        <v>213</v>
      </c>
      <c r="P12" t="str">
        <f t="shared" si="17"/>
        <v>SX1276_LoRa_REG_OP_MODE_LOW_FREQUENCY_MODE</v>
      </c>
      <c r="S12" t="str">
        <f t="shared" si="18"/>
        <v xml:space="preserve">#define SX1276_LoRa_REG_OP_MODE_LOW_FREQUENCY_MODE 0x88</v>
      </c>
    </row>
    <row r="15">
      <c r="C15" t="s">
        <v>214</v>
      </c>
    </row>
    <row r="17">
      <c r="C17" t="s">
        <v>207</v>
      </c>
      <c r="D17" t="s">
        <v>208</v>
      </c>
      <c r="E17" s="1" t="s">
        <v>22</v>
      </c>
      <c r="F17" s="1"/>
      <c r="G17" t="s">
        <v>209</v>
      </c>
      <c r="H17" s="1" t="s">
        <v>210</v>
      </c>
      <c r="I17" s="1"/>
      <c r="J17" s="1"/>
      <c r="L17" s="1" t="s">
        <v>27</v>
      </c>
      <c r="M17" s="1" t="s">
        <v>28</v>
      </c>
      <c r="N17" s="1" t="s">
        <v>29</v>
      </c>
      <c r="O17" s="1" t="s">
        <v>30</v>
      </c>
      <c r="P17" s="1" t="s">
        <v>31</v>
      </c>
      <c r="S17" s="1" t="s">
        <v>32</v>
      </c>
    </row>
    <row r="18">
      <c r="C18">
        <v>1</v>
      </c>
      <c r="D18">
        <v>0</v>
      </c>
      <c r="E18">
        <v>0</v>
      </c>
      <c r="F18">
        <v>0</v>
      </c>
      <c r="G18">
        <v>0</v>
      </c>
      <c r="H18" s="2">
        <v>0</v>
      </c>
      <c r="I18" s="2">
        <v>0</v>
      </c>
      <c r="J18" s="2">
        <v>0</v>
      </c>
      <c r="L18" s="1">
        <f t="shared" si="14"/>
        <v>10000000</v>
      </c>
      <c r="M18" s="1" t="str">
        <f t="shared" si="15"/>
        <v>80</v>
      </c>
      <c r="N18" s="1">
        <f t="shared" si="16"/>
        <v>128</v>
      </c>
      <c r="O18" t="s">
        <v>215</v>
      </c>
      <c r="P18" t="str">
        <f t="shared" si="17"/>
        <v>SX1276_LoRa_REG_OP_MODE_SLEEP</v>
      </c>
      <c r="S18" t="str">
        <f t="shared" si="18"/>
        <v xml:space="preserve">#define SX1276_LoRa_REG_OP_MODE_SLEEP 0x80</v>
      </c>
    </row>
    <row r="19">
      <c r="C19">
        <v>1</v>
      </c>
      <c r="D19">
        <v>0</v>
      </c>
      <c r="E19">
        <v>0</v>
      </c>
      <c r="F19">
        <v>0</v>
      </c>
      <c r="G19">
        <v>0</v>
      </c>
      <c r="H19" s="2">
        <v>0</v>
      </c>
      <c r="I19" s="2">
        <v>0</v>
      </c>
      <c r="J19" s="2">
        <v>1</v>
      </c>
      <c r="L19" s="1">
        <f t="shared" si="14"/>
        <v>10000001</v>
      </c>
      <c r="M19" s="1" t="str">
        <f t="shared" si="15"/>
        <v>81</v>
      </c>
      <c r="N19" s="1">
        <f t="shared" si="16"/>
        <v>129</v>
      </c>
      <c r="O19" t="s">
        <v>216</v>
      </c>
      <c r="P19" t="str">
        <f t="shared" si="17"/>
        <v>SX1276_LoRa_REG_OP_MODE_STDBY</v>
      </c>
      <c r="S19" t="str">
        <f t="shared" si="18"/>
        <v xml:space="preserve">#define SX1276_LoRa_REG_OP_MODE_STDBY 0x81</v>
      </c>
    </row>
    <row r="20">
      <c r="C20">
        <v>1</v>
      </c>
      <c r="D20">
        <v>0</v>
      </c>
      <c r="E20">
        <v>0</v>
      </c>
      <c r="F20">
        <v>0</v>
      </c>
      <c r="G20">
        <v>0</v>
      </c>
      <c r="H20" s="2">
        <v>0</v>
      </c>
      <c r="I20" s="2">
        <v>1</v>
      </c>
      <c r="J20" s="2">
        <v>0</v>
      </c>
      <c r="L20" s="1">
        <f t="shared" si="14"/>
        <v>10000010</v>
      </c>
      <c r="M20" s="1" t="str">
        <f t="shared" si="15"/>
        <v>82</v>
      </c>
      <c r="N20" s="1">
        <f t="shared" si="16"/>
        <v>130</v>
      </c>
      <c r="O20" t="s">
        <v>217</v>
      </c>
      <c r="P20" t="str">
        <f t="shared" si="17"/>
        <v>SX1276_LoRa_REG_OP_MODE_FSTX</v>
      </c>
      <c r="S20" t="str">
        <f t="shared" si="18"/>
        <v xml:space="preserve">#define SX1276_LoRa_REG_OP_MODE_FSTX 0x82</v>
      </c>
    </row>
    <row r="21">
      <c r="C21">
        <v>1</v>
      </c>
      <c r="D21">
        <v>0</v>
      </c>
      <c r="E21">
        <v>0</v>
      </c>
      <c r="F21">
        <v>0</v>
      </c>
      <c r="G21">
        <v>0</v>
      </c>
      <c r="H21" s="2">
        <v>0</v>
      </c>
      <c r="I21" s="2">
        <v>1</v>
      </c>
      <c r="J21" s="2">
        <v>1</v>
      </c>
      <c r="L21" s="1">
        <f t="shared" si="14"/>
        <v>10000011</v>
      </c>
      <c r="M21" s="1" t="str">
        <f t="shared" si="15"/>
        <v>83</v>
      </c>
      <c r="N21" s="1">
        <f t="shared" si="16"/>
        <v>131</v>
      </c>
      <c r="O21" t="s">
        <v>218</v>
      </c>
      <c r="P21" t="str">
        <f t="shared" si="17"/>
        <v>SX1276_LoRa_REG_OP_MODE_TX</v>
      </c>
      <c r="S21" t="str">
        <f t="shared" si="18"/>
        <v xml:space="preserve">#define SX1276_LoRa_REG_OP_MODE_TX 0x83</v>
      </c>
    </row>
    <row r="22">
      <c r="C22">
        <v>1</v>
      </c>
      <c r="D22">
        <v>0</v>
      </c>
      <c r="E22">
        <v>0</v>
      </c>
      <c r="F22">
        <v>0</v>
      </c>
      <c r="G22">
        <v>0</v>
      </c>
      <c r="H22" s="2">
        <v>1</v>
      </c>
      <c r="I22" s="2">
        <v>0</v>
      </c>
      <c r="J22" s="2">
        <v>0</v>
      </c>
      <c r="L22" s="1">
        <f t="shared" si="14"/>
        <v>10000100</v>
      </c>
      <c r="M22" s="1" t="str">
        <f t="shared" si="15"/>
        <v>84</v>
      </c>
      <c r="N22" s="1">
        <f t="shared" si="16"/>
        <v>132</v>
      </c>
      <c r="O22" t="s">
        <v>219</v>
      </c>
      <c r="P22" t="str">
        <f t="shared" si="17"/>
        <v>SX1276_LoRa_REG_OP_MODE_FSRX</v>
      </c>
      <c r="S22" t="str">
        <f t="shared" si="18"/>
        <v xml:space="preserve">#define SX1276_LoRa_REG_OP_MODE_FSRX 0x84</v>
      </c>
    </row>
    <row r="23">
      <c r="C23">
        <v>1</v>
      </c>
      <c r="D23">
        <v>0</v>
      </c>
      <c r="E23">
        <v>0</v>
      </c>
      <c r="F23">
        <v>0</v>
      </c>
      <c r="G23">
        <v>0</v>
      </c>
      <c r="H23" s="2">
        <v>1</v>
      </c>
      <c r="I23" s="2">
        <v>0</v>
      </c>
      <c r="J23" s="2">
        <v>1</v>
      </c>
      <c r="L23" s="1">
        <f t="shared" si="14"/>
        <v>10000101</v>
      </c>
      <c r="M23" s="1" t="str">
        <f t="shared" si="15"/>
        <v>85</v>
      </c>
      <c r="N23" s="1">
        <f t="shared" si="16"/>
        <v>133</v>
      </c>
      <c r="O23" t="s">
        <v>220</v>
      </c>
      <c r="P23" t="str">
        <f t="shared" si="17"/>
        <v>SX1276_LoRa_REG_OP_MODE_RXCONT</v>
      </c>
      <c r="S23" t="str">
        <f t="shared" si="18"/>
        <v xml:space="preserve">#define SX1276_LoRa_REG_OP_MODE_RXCONT 0x85</v>
      </c>
    </row>
    <row r="24">
      <c r="C24">
        <v>1</v>
      </c>
      <c r="D24">
        <v>0</v>
      </c>
      <c r="E24">
        <v>0</v>
      </c>
      <c r="F24">
        <v>0</v>
      </c>
      <c r="G24">
        <v>0</v>
      </c>
      <c r="H24" s="2">
        <v>1</v>
      </c>
      <c r="I24" s="2">
        <v>1</v>
      </c>
      <c r="J24" s="2">
        <v>0</v>
      </c>
      <c r="L24" s="1">
        <f t="shared" si="14"/>
        <v>10000110</v>
      </c>
      <c r="M24" s="1" t="str">
        <f t="shared" si="15"/>
        <v>86</v>
      </c>
      <c r="N24" s="1">
        <f t="shared" si="16"/>
        <v>134</v>
      </c>
      <c r="O24" t="s">
        <v>221</v>
      </c>
      <c r="P24" t="str">
        <f t="shared" si="17"/>
        <v>SX1276_LoRa_REG_OP_MODE_RXSINGLE</v>
      </c>
      <c r="S24" t="str">
        <f t="shared" si="18"/>
        <v xml:space="preserve">#define SX1276_LoRa_REG_OP_MODE_RXSINGLE 0x86</v>
      </c>
    </row>
    <row r="25">
      <c r="C25">
        <v>1</v>
      </c>
      <c r="D25">
        <v>0</v>
      </c>
      <c r="E25">
        <v>0</v>
      </c>
      <c r="F25">
        <v>0</v>
      </c>
      <c r="G25">
        <v>0</v>
      </c>
      <c r="H25" s="2">
        <v>1</v>
      </c>
      <c r="I25" s="2">
        <v>1</v>
      </c>
      <c r="J25" s="2">
        <v>1</v>
      </c>
      <c r="L25" s="1">
        <f t="shared" si="14"/>
        <v>10000111</v>
      </c>
      <c r="M25" s="1" t="str">
        <f t="shared" si="15"/>
        <v>87</v>
      </c>
      <c r="N25" s="1">
        <f t="shared" si="16"/>
        <v>135</v>
      </c>
      <c r="O25" t="s">
        <v>222</v>
      </c>
      <c r="P25" t="str">
        <f t="shared" si="17"/>
        <v>SX1276_LoRa_REG_OP_MODE_CAD</v>
      </c>
      <c r="S25" t="str">
        <f t="shared" si="18"/>
        <v xml:space="preserve">#define SX1276_LoRa_REG_OP_MODE_CAD 0x87</v>
      </c>
    </row>
  </sheetData>
  <mergeCells count="6">
    <mergeCell ref="E5:F5"/>
    <mergeCell ref="H5:J5"/>
    <mergeCell ref="E10:F10"/>
    <mergeCell ref="H10:J10"/>
    <mergeCell ref="E17:F17"/>
    <mergeCell ref="H17:J1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2" width="9.140625"/>
    <col bestFit="1" customWidth="1" min="3" max="3" width="14.85546875"/>
    <col bestFit="1" customWidth="1" min="4" max="4" width="15.140625"/>
    <col customWidth="1" min="5" max="6" width="9.140625"/>
    <col bestFit="1" customWidth="1" min="7" max="7" width="20.42578125"/>
    <col customWidth="1" min="8" max="14" width="9.140625"/>
    <col bestFit="1" customWidth="1" min="15" max="15" width="41.140625"/>
    <col bestFit="1" customWidth="1" min="16" max="16" width="50.7109375"/>
    <col customWidth="1" min="17" max="19" width="9.140625"/>
  </cols>
  <sheetData>
    <row r="1">
      <c r="A1" s="6" t="s">
        <v>223</v>
      </c>
      <c r="B1" s="6"/>
      <c r="C1" s="6" t="s">
        <v>224</v>
      </c>
      <c r="D1" s="6"/>
      <c r="E1" s="6"/>
      <c r="F1" s="6"/>
      <c r="G1" s="6"/>
      <c r="H1" s="6"/>
      <c r="I1" s="6"/>
      <c r="J1" s="6"/>
      <c r="K1" s="6"/>
      <c r="L1" s="1"/>
      <c r="M1" s="1"/>
      <c r="N1" s="1"/>
      <c r="O1" s="6" t="s">
        <v>12</v>
      </c>
      <c r="P1" s="6" t="s">
        <v>225</v>
      </c>
      <c r="Q1" s="6"/>
      <c r="R1" s="6"/>
      <c r="S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1"/>
      <c r="M2" s="1"/>
      <c r="N2" s="1"/>
      <c r="O2" s="6"/>
      <c r="P2" s="6"/>
      <c r="Q2" s="6"/>
      <c r="R2" s="6"/>
      <c r="S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1"/>
      <c r="M3" s="1"/>
      <c r="N3" s="1"/>
      <c r="O3" s="6"/>
      <c r="P3" s="6"/>
      <c r="Q3" s="6"/>
      <c r="R3" s="6"/>
      <c r="S3" s="6"/>
    </row>
    <row r="4">
      <c r="A4" s="6"/>
      <c r="B4" s="6"/>
      <c r="C4" s="6">
        <v>7</v>
      </c>
      <c r="D4" s="6">
        <v>6</v>
      </c>
      <c r="E4" s="6">
        <v>5</v>
      </c>
      <c r="F4" s="6">
        <v>4</v>
      </c>
      <c r="G4" s="6">
        <v>3</v>
      </c>
      <c r="H4" s="6">
        <v>2</v>
      </c>
      <c r="I4" s="6">
        <v>1</v>
      </c>
      <c r="J4" s="6">
        <v>0</v>
      </c>
      <c r="K4" s="6"/>
      <c r="L4" s="1"/>
      <c r="M4" s="1"/>
      <c r="N4" s="1"/>
      <c r="O4" s="6" t="s">
        <v>14</v>
      </c>
      <c r="P4" s="6" t="s">
        <v>94</v>
      </c>
      <c r="Q4" s="6"/>
      <c r="R4" s="6"/>
      <c r="S4" s="6"/>
    </row>
    <row r="5">
      <c r="A5" s="6"/>
      <c r="B5" s="6"/>
      <c r="C5" s="6" t="s">
        <v>226</v>
      </c>
      <c r="D5" s="7" t="s">
        <v>227</v>
      </c>
      <c r="E5" s="7"/>
      <c r="F5" s="7"/>
      <c r="G5" s="7" t="s">
        <v>228</v>
      </c>
      <c r="H5" s="7"/>
      <c r="I5" s="7"/>
      <c r="J5" s="7"/>
      <c r="K5" s="6"/>
      <c r="L5" s="1"/>
      <c r="M5" s="1"/>
      <c r="N5" s="1"/>
      <c r="O5" s="6" t="s">
        <v>24</v>
      </c>
      <c r="P5" s="6" t="s">
        <v>25</v>
      </c>
      <c r="Q5" s="6"/>
      <c r="R5" s="6"/>
      <c r="S5" s="6"/>
    </row>
    <row r="6">
      <c r="A6" s="6"/>
      <c r="B6" s="6"/>
      <c r="C6" s="6">
        <v>1</v>
      </c>
      <c r="D6" s="6">
        <v>1</v>
      </c>
      <c r="E6" s="6">
        <v>1</v>
      </c>
      <c r="F6" s="6">
        <v>1</v>
      </c>
      <c r="G6" s="6"/>
      <c r="H6" s="6"/>
      <c r="I6" s="6"/>
      <c r="J6" s="6"/>
      <c r="K6" s="6"/>
      <c r="L6" s="1"/>
      <c r="M6" s="1"/>
      <c r="N6" s="1"/>
      <c r="O6" s="6"/>
      <c r="P6" s="6"/>
      <c r="Q6" s="6"/>
      <c r="R6" s="6"/>
      <c r="S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/>
      <c r="M7" s="1"/>
      <c r="N7" s="1"/>
      <c r="O7" s="6"/>
      <c r="P7" s="6"/>
      <c r="Q7" s="6"/>
      <c r="R7" s="6"/>
      <c r="S7" s="6"/>
    </row>
    <row r="8">
      <c r="A8" s="6"/>
      <c r="B8" s="6"/>
      <c r="C8" s="6" t="s">
        <v>229</v>
      </c>
      <c r="D8" s="6"/>
      <c r="E8" s="6"/>
      <c r="F8" s="6"/>
      <c r="G8" s="6"/>
      <c r="H8" s="6"/>
      <c r="I8" s="6"/>
      <c r="J8" s="6"/>
      <c r="K8" s="6"/>
      <c r="L8" s="1"/>
      <c r="M8" s="1"/>
      <c r="N8" s="1"/>
      <c r="O8" s="6"/>
      <c r="P8" s="6"/>
      <c r="Q8" s="6"/>
      <c r="R8" s="6"/>
      <c r="S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1"/>
      <c r="M9" s="1"/>
      <c r="N9" s="1"/>
      <c r="O9" s="6"/>
      <c r="P9" s="6"/>
      <c r="Q9" s="6"/>
      <c r="R9" s="6"/>
      <c r="S9" s="6"/>
    </row>
    <row r="10">
      <c r="A10" s="6"/>
      <c r="B10" s="6"/>
      <c r="C10" s="6" t="s">
        <v>226</v>
      </c>
      <c r="D10" s="7" t="s">
        <v>227</v>
      </c>
      <c r="E10" s="7"/>
      <c r="F10" s="7"/>
      <c r="G10" s="7" t="s">
        <v>228</v>
      </c>
      <c r="H10" s="7"/>
      <c r="I10" s="7"/>
      <c r="J10" s="7"/>
      <c r="K10" s="6"/>
      <c r="L10" s="1" t="s">
        <v>27</v>
      </c>
      <c r="M10" s="1" t="s">
        <v>28</v>
      </c>
      <c r="N10" s="1" t="s">
        <v>29</v>
      </c>
      <c r="O10" s="1" t="s">
        <v>30</v>
      </c>
      <c r="P10" s="1" t="s">
        <v>31</v>
      </c>
      <c r="Q10" s="6"/>
      <c r="R10" s="6"/>
      <c r="S10" s="1" t="s">
        <v>32</v>
      </c>
    </row>
    <row r="11">
      <c r="A11" s="6"/>
      <c r="B11" s="6"/>
      <c r="C11" s="6">
        <v>1</v>
      </c>
      <c r="D11" s="6">
        <v>1</v>
      </c>
      <c r="E11" s="6">
        <v>1</v>
      </c>
      <c r="F11" s="6">
        <v>1</v>
      </c>
      <c r="G11" s="8">
        <v>0</v>
      </c>
      <c r="H11" s="8">
        <v>0</v>
      </c>
      <c r="I11" s="8">
        <v>0</v>
      </c>
      <c r="J11" s="8">
        <v>0</v>
      </c>
      <c r="K11" s="6"/>
      <c r="L11" s="1">
        <f t="shared" ref="L11:L25" si="19">VALUE(C11&amp;D11&amp;E11&amp;F11&amp;G11&amp;H11&amp;I11&amp;J11)</f>
        <v>11110000</v>
      </c>
      <c r="M11" s="1" t="str">
        <f t="shared" ref="M11:M25" si="20">BIN2HEX(L11)</f>
        <v>F0</v>
      </c>
      <c r="N11" s="1">
        <f t="shared" ref="N11:N25" si="21">BIN2DEC(L11)</f>
        <v>240</v>
      </c>
      <c r="O11" s="6">
        <f t="shared" ref="O11:O25" si="22">17-15+N11-240</f>
        <v>2</v>
      </c>
      <c r="P11" s="6" t="str">
        <f t="shared" ref="P11:P25" si="23">$P$1&amp;"_"&amp;O11</f>
        <v>SX1276_LoRa_PA_CONFIG_OP_POWER_dBm_2</v>
      </c>
      <c r="Q11" s="6"/>
      <c r="R11" s="6"/>
      <c r="S11" s="6" t="str">
        <f t="shared" ref="S11:S25" si="24">$P$4&amp;" "&amp;P11&amp;" "&amp;$P$5&amp;M11</f>
        <v xml:space="preserve">#define SX1276_LoRa_PA_CONFIG_OP_POWER_dBm_2 0xF0</v>
      </c>
    </row>
    <row r="12">
      <c r="A12" s="6"/>
      <c r="B12" s="6"/>
      <c r="C12" s="6">
        <v>1</v>
      </c>
      <c r="D12" s="6">
        <v>1</v>
      </c>
      <c r="E12" s="6">
        <v>1</v>
      </c>
      <c r="F12" s="6">
        <v>1</v>
      </c>
      <c r="G12" s="8">
        <v>0</v>
      </c>
      <c r="H12" s="8">
        <v>0</v>
      </c>
      <c r="I12" s="8">
        <v>0</v>
      </c>
      <c r="J12" s="8">
        <v>1</v>
      </c>
      <c r="K12" s="6"/>
      <c r="L12" s="1">
        <f t="shared" si="19"/>
        <v>11110001</v>
      </c>
      <c r="M12" s="1" t="str">
        <f t="shared" si="20"/>
        <v>F1</v>
      </c>
      <c r="N12" s="1">
        <f t="shared" si="21"/>
        <v>241</v>
      </c>
      <c r="O12" s="6">
        <f t="shared" si="22"/>
        <v>3</v>
      </c>
      <c r="P12" s="6" t="str">
        <f t="shared" si="23"/>
        <v>SX1276_LoRa_PA_CONFIG_OP_POWER_dBm_3</v>
      </c>
      <c r="Q12" s="6"/>
      <c r="R12" s="6"/>
      <c r="S12" s="6" t="str">
        <f t="shared" si="24"/>
        <v xml:space="preserve">#define SX1276_LoRa_PA_CONFIG_OP_POWER_dBm_3 0xF1</v>
      </c>
    </row>
    <row r="13">
      <c r="A13" s="6"/>
      <c r="B13" s="6"/>
      <c r="C13" s="6">
        <v>1</v>
      </c>
      <c r="D13" s="6">
        <v>1</v>
      </c>
      <c r="E13" s="6">
        <v>1</v>
      </c>
      <c r="F13" s="6">
        <v>1</v>
      </c>
      <c r="G13" s="8">
        <v>0</v>
      </c>
      <c r="H13" s="8">
        <v>0</v>
      </c>
      <c r="I13" s="8">
        <v>1</v>
      </c>
      <c r="J13" s="8">
        <v>0</v>
      </c>
      <c r="K13" s="6"/>
      <c r="L13" s="1">
        <f t="shared" si="19"/>
        <v>11110010</v>
      </c>
      <c r="M13" s="1" t="str">
        <f t="shared" si="20"/>
        <v>F2</v>
      </c>
      <c r="N13" s="1">
        <f t="shared" si="21"/>
        <v>242</v>
      </c>
      <c r="O13" s="6">
        <f t="shared" si="22"/>
        <v>4</v>
      </c>
      <c r="P13" s="6" t="str">
        <f t="shared" si="23"/>
        <v>SX1276_LoRa_PA_CONFIG_OP_POWER_dBm_4</v>
      </c>
      <c r="Q13" s="6"/>
      <c r="R13" s="6"/>
      <c r="S13" s="6" t="str">
        <f t="shared" si="24"/>
        <v xml:space="preserve">#define SX1276_LoRa_PA_CONFIG_OP_POWER_dBm_4 0xF2</v>
      </c>
    </row>
    <row r="14">
      <c r="C14" s="6">
        <v>1</v>
      </c>
      <c r="D14" s="6">
        <v>1</v>
      </c>
      <c r="E14" s="6">
        <v>1</v>
      </c>
      <c r="F14" s="6">
        <v>1</v>
      </c>
      <c r="G14" s="9">
        <v>0</v>
      </c>
      <c r="H14" s="9">
        <v>0</v>
      </c>
      <c r="I14" s="9">
        <v>1</v>
      </c>
      <c r="J14" s="9">
        <v>1</v>
      </c>
      <c r="L14" s="1">
        <f t="shared" si="19"/>
        <v>11110011</v>
      </c>
      <c r="M14" s="1" t="str">
        <f t="shared" si="20"/>
        <v>F3</v>
      </c>
      <c r="N14" s="1">
        <f t="shared" si="21"/>
        <v>243</v>
      </c>
      <c r="O14" s="6">
        <f t="shared" si="22"/>
        <v>5</v>
      </c>
      <c r="P14" s="6" t="str">
        <f t="shared" si="23"/>
        <v>SX1276_LoRa_PA_CONFIG_OP_POWER_dBm_5</v>
      </c>
      <c r="S14" s="6" t="str">
        <f t="shared" si="24"/>
        <v xml:space="preserve">#define SX1276_LoRa_PA_CONFIG_OP_POWER_dBm_5 0xF3</v>
      </c>
    </row>
    <row r="15">
      <c r="C15" s="6">
        <v>1</v>
      </c>
      <c r="D15" s="6">
        <v>1</v>
      </c>
      <c r="E15" s="6">
        <v>1</v>
      </c>
      <c r="F15" s="6">
        <v>1</v>
      </c>
      <c r="G15" s="9">
        <v>0</v>
      </c>
      <c r="H15" s="9">
        <v>1</v>
      </c>
      <c r="I15" s="9">
        <v>0</v>
      </c>
      <c r="J15" s="9">
        <v>0</v>
      </c>
      <c r="L15" s="1">
        <f t="shared" si="19"/>
        <v>11110100</v>
      </c>
      <c r="M15" s="1" t="str">
        <f t="shared" si="20"/>
        <v>F4</v>
      </c>
      <c r="N15" s="1">
        <f t="shared" si="21"/>
        <v>244</v>
      </c>
      <c r="O15" s="6">
        <f t="shared" si="22"/>
        <v>6</v>
      </c>
      <c r="P15" s="6" t="str">
        <f t="shared" si="23"/>
        <v>SX1276_LoRa_PA_CONFIG_OP_POWER_dBm_6</v>
      </c>
      <c r="S15" s="6" t="str">
        <f t="shared" si="24"/>
        <v xml:space="preserve">#define SX1276_LoRa_PA_CONFIG_OP_POWER_dBm_6 0xF4</v>
      </c>
    </row>
    <row r="16">
      <c r="C16" s="6">
        <v>1</v>
      </c>
      <c r="D16" s="6">
        <v>1</v>
      </c>
      <c r="E16" s="6">
        <v>1</v>
      </c>
      <c r="F16" s="6">
        <v>1</v>
      </c>
      <c r="G16" s="9">
        <v>0</v>
      </c>
      <c r="H16" s="9">
        <v>1</v>
      </c>
      <c r="I16" s="9">
        <v>0</v>
      </c>
      <c r="J16" s="9">
        <v>1</v>
      </c>
      <c r="L16" s="1">
        <f t="shared" si="19"/>
        <v>11110101</v>
      </c>
      <c r="M16" s="1" t="str">
        <f t="shared" si="20"/>
        <v>F5</v>
      </c>
      <c r="N16" s="1">
        <f t="shared" si="21"/>
        <v>245</v>
      </c>
      <c r="O16" s="6">
        <f t="shared" si="22"/>
        <v>7</v>
      </c>
      <c r="P16" s="6" t="str">
        <f t="shared" si="23"/>
        <v>SX1276_LoRa_PA_CONFIG_OP_POWER_dBm_7</v>
      </c>
      <c r="S16" s="6" t="str">
        <f t="shared" si="24"/>
        <v xml:space="preserve">#define SX1276_LoRa_PA_CONFIG_OP_POWER_dBm_7 0xF5</v>
      </c>
    </row>
    <row r="17">
      <c r="C17" s="6">
        <v>1</v>
      </c>
      <c r="D17" s="6">
        <v>1</v>
      </c>
      <c r="E17" s="6">
        <v>1</v>
      </c>
      <c r="F17" s="6">
        <v>1</v>
      </c>
      <c r="G17" s="9">
        <v>0</v>
      </c>
      <c r="H17" s="9">
        <v>1</v>
      </c>
      <c r="I17" s="9">
        <v>1</v>
      </c>
      <c r="J17" s="9">
        <v>0</v>
      </c>
      <c r="L17" s="1">
        <f t="shared" si="19"/>
        <v>11110110</v>
      </c>
      <c r="M17" s="1" t="str">
        <f t="shared" si="20"/>
        <v>F6</v>
      </c>
      <c r="N17" s="1">
        <f t="shared" si="21"/>
        <v>246</v>
      </c>
      <c r="O17" s="6">
        <f t="shared" si="22"/>
        <v>8</v>
      </c>
      <c r="P17" s="6" t="str">
        <f t="shared" si="23"/>
        <v>SX1276_LoRa_PA_CONFIG_OP_POWER_dBm_8</v>
      </c>
      <c r="S17" s="6" t="str">
        <f t="shared" si="24"/>
        <v xml:space="preserve">#define SX1276_LoRa_PA_CONFIG_OP_POWER_dBm_8 0xF6</v>
      </c>
    </row>
    <row r="18">
      <c r="C18" s="6">
        <v>1</v>
      </c>
      <c r="D18" s="6">
        <v>1</v>
      </c>
      <c r="E18" s="6">
        <v>1</v>
      </c>
      <c r="F18" s="6">
        <v>1</v>
      </c>
      <c r="G18" s="9">
        <v>0</v>
      </c>
      <c r="H18" s="9">
        <v>1</v>
      </c>
      <c r="I18" s="9">
        <v>1</v>
      </c>
      <c r="J18" s="9">
        <v>1</v>
      </c>
      <c r="L18" s="1">
        <f t="shared" si="19"/>
        <v>11110111</v>
      </c>
      <c r="M18" s="1" t="str">
        <f t="shared" si="20"/>
        <v>F7</v>
      </c>
      <c r="N18" s="1">
        <f t="shared" si="21"/>
        <v>247</v>
      </c>
      <c r="O18" s="6">
        <f t="shared" si="22"/>
        <v>9</v>
      </c>
      <c r="P18" s="6" t="str">
        <f t="shared" si="23"/>
        <v>SX1276_LoRa_PA_CONFIG_OP_POWER_dBm_9</v>
      </c>
      <c r="S18" s="6" t="str">
        <f t="shared" si="24"/>
        <v xml:space="preserve">#define SX1276_LoRa_PA_CONFIG_OP_POWER_dBm_9 0xF7</v>
      </c>
    </row>
    <row r="19">
      <c r="C19" s="6">
        <v>1</v>
      </c>
      <c r="D19" s="6">
        <v>1</v>
      </c>
      <c r="E19" s="6">
        <v>1</v>
      </c>
      <c r="F19" s="6">
        <v>1</v>
      </c>
      <c r="G19" s="9">
        <v>1</v>
      </c>
      <c r="H19" s="8">
        <v>0</v>
      </c>
      <c r="I19" s="8">
        <v>0</v>
      </c>
      <c r="J19" s="8">
        <v>1</v>
      </c>
      <c r="L19" s="1">
        <f t="shared" si="19"/>
        <v>11111001</v>
      </c>
      <c r="M19" s="1" t="str">
        <f t="shared" si="20"/>
        <v>F9</v>
      </c>
      <c r="N19" s="1">
        <f t="shared" si="21"/>
        <v>249</v>
      </c>
      <c r="O19" s="6">
        <f t="shared" si="22"/>
        <v>11</v>
      </c>
      <c r="P19" s="6" t="str">
        <f t="shared" si="23"/>
        <v>SX1276_LoRa_PA_CONFIG_OP_POWER_dBm_11</v>
      </c>
      <c r="S19" s="6" t="str">
        <f t="shared" si="24"/>
        <v xml:space="preserve">#define SX1276_LoRa_PA_CONFIG_OP_POWER_dBm_11 0xF9</v>
      </c>
    </row>
    <row r="20">
      <c r="C20" s="6">
        <v>1</v>
      </c>
      <c r="D20" s="6">
        <v>1</v>
      </c>
      <c r="E20" s="6">
        <v>1</v>
      </c>
      <c r="F20" s="6">
        <v>1</v>
      </c>
      <c r="G20" s="9">
        <v>1</v>
      </c>
      <c r="H20" s="8">
        <v>0</v>
      </c>
      <c r="I20" s="8">
        <v>1</v>
      </c>
      <c r="J20" s="8">
        <v>0</v>
      </c>
      <c r="L20" s="1">
        <f t="shared" si="19"/>
        <v>11111010</v>
      </c>
      <c r="M20" s="1" t="str">
        <f t="shared" si="20"/>
        <v>FA</v>
      </c>
      <c r="N20" s="1">
        <f t="shared" si="21"/>
        <v>250</v>
      </c>
      <c r="O20" s="6">
        <f t="shared" si="22"/>
        <v>12</v>
      </c>
      <c r="P20" s="6" t="str">
        <f t="shared" si="23"/>
        <v>SX1276_LoRa_PA_CONFIG_OP_POWER_dBm_12</v>
      </c>
      <c r="S20" s="6" t="str">
        <f t="shared" si="24"/>
        <v xml:space="preserve">#define SX1276_LoRa_PA_CONFIG_OP_POWER_dBm_12 0xFA</v>
      </c>
    </row>
    <row r="21">
      <c r="C21" s="6">
        <v>1</v>
      </c>
      <c r="D21" s="6">
        <v>1</v>
      </c>
      <c r="E21" s="6">
        <v>1</v>
      </c>
      <c r="F21" s="6">
        <v>1</v>
      </c>
      <c r="G21" s="9">
        <v>1</v>
      </c>
      <c r="H21" s="8">
        <v>0</v>
      </c>
      <c r="I21" s="8">
        <v>1</v>
      </c>
      <c r="J21" s="8">
        <v>1</v>
      </c>
      <c r="L21" s="1">
        <f t="shared" si="19"/>
        <v>11111011</v>
      </c>
      <c r="M21" s="1" t="str">
        <f t="shared" si="20"/>
        <v>FB</v>
      </c>
      <c r="N21" s="1">
        <f t="shared" si="21"/>
        <v>251</v>
      </c>
      <c r="O21" s="6">
        <f t="shared" si="22"/>
        <v>13</v>
      </c>
      <c r="P21" s="6" t="str">
        <f t="shared" si="23"/>
        <v>SX1276_LoRa_PA_CONFIG_OP_POWER_dBm_13</v>
      </c>
      <c r="S21" s="6" t="str">
        <f t="shared" si="24"/>
        <v xml:space="preserve">#define SX1276_LoRa_PA_CONFIG_OP_POWER_dBm_13 0xFB</v>
      </c>
    </row>
    <row r="22">
      <c r="C22" s="6">
        <v>1</v>
      </c>
      <c r="D22" s="6">
        <v>1</v>
      </c>
      <c r="E22" s="6">
        <v>1</v>
      </c>
      <c r="F22" s="6">
        <v>1</v>
      </c>
      <c r="G22" s="9">
        <v>1</v>
      </c>
      <c r="H22" s="8">
        <v>1</v>
      </c>
      <c r="I22" s="8">
        <v>0</v>
      </c>
      <c r="J22" s="8">
        <v>0</v>
      </c>
      <c r="L22" s="1">
        <f t="shared" si="19"/>
        <v>11111100</v>
      </c>
      <c r="M22" s="1" t="str">
        <f t="shared" si="20"/>
        <v>FC</v>
      </c>
      <c r="N22" s="1">
        <f t="shared" si="21"/>
        <v>252</v>
      </c>
      <c r="O22" s="6">
        <f t="shared" si="22"/>
        <v>14</v>
      </c>
      <c r="P22" s="6" t="str">
        <f t="shared" si="23"/>
        <v>SX1276_LoRa_PA_CONFIG_OP_POWER_dBm_14</v>
      </c>
      <c r="S22" s="6" t="str">
        <f t="shared" si="24"/>
        <v xml:space="preserve">#define SX1276_LoRa_PA_CONFIG_OP_POWER_dBm_14 0xFC</v>
      </c>
    </row>
    <row r="23">
      <c r="C23" s="6">
        <v>1</v>
      </c>
      <c r="D23" s="6">
        <v>1</v>
      </c>
      <c r="E23" s="6">
        <v>1</v>
      </c>
      <c r="F23" s="6">
        <v>1</v>
      </c>
      <c r="G23" s="9">
        <v>1</v>
      </c>
      <c r="H23" s="8">
        <v>1</v>
      </c>
      <c r="I23" s="8">
        <v>0</v>
      </c>
      <c r="J23" s="8">
        <v>1</v>
      </c>
      <c r="L23" s="1">
        <f t="shared" si="19"/>
        <v>11111101</v>
      </c>
      <c r="M23" s="1" t="str">
        <f t="shared" si="20"/>
        <v>FD</v>
      </c>
      <c r="N23" s="1">
        <f t="shared" si="21"/>
        <v>253</v>
      </c>
      <c r="O23" s="6">
        <f t="shared" si="22"/>
        <v>15</v>
      </c>
      <c r="P23" s="6" t="str">
        <f t="shared" si="23"/>
        <v>SX1276_LoRa_PA_CONFIG_OP_POWER_dBm_15</v>
      </c>
      <c r="S23" s="6" t="str">
        <f t="shared" si="24"/>
        <v xml:space="preserve">#define SX1276_LoRa_PA_CONFIG_OP_POWER_dBm_15 0xFD</v>
      </c>
    </row>
    <row r="24">
      <c r="C24" s="6">
        <v>1</v>
      </c>
      <c r="D24" s="6">
        <v>1</v>
      </c>
      <c r="E24" s="6">
        <v>1</v>
      </c>
      <c r="F24" s="6">
        <v>1</v>
      </c>
      <c r="G24" s="9">
        <v>1</v>
      </c>
      <c r="H24" s="8">
        <v>1</v>
      </c>
      <c r="I24" s="8">
        <v>1</v>
      </c>
      <c r="J24" s="8">
        <v>0</v>
      </c>
      <c r="L24" s="1">
        <f t="shared" si="19"/>
        <v>11111110</v>
      </c>
      <c r="M24" s="1" t="str">
        <f t="shared" si="20"/>
        <v>FE</v>
      </c>
      <c r="N24" s="1">
        <f t="shared" si="21"/>
        <v>254</v>
      </c>
      <c r="O24" s="6">
        <f t="shared" si="22"/>
        <v>16</v>
      </c>
      <c r="P24" s="6" t="str">
        <f t="shared" si="23"/>
        <v>SX1276_LoRa_PA_CONFIG_OP_POWER_dBm_16</v>
      </c>
      <c r="S24" s="6" t="str">
        <f t="shared" si="24"/>
        <v xml:space="preserve">#define SX1276_LoRa_PA_CONFIG_OP_POWER_dBm_16 0xFE</v>
      </c>
    </row>
    <row r="25">
      <c r="C25" s="6">
        <v>1</v>
      </c>
      <c r="D25" s="6">
        <v>1</v>
      </c>
      <c r="E25" s="6">
        <v>1</v>
      </c>
      <c r="F25" s="6">
        <v>1</v>
      </c>
      <c r="G25" s="9">
        <v>1</v>
      </c>
      <c r="H25" s="8">
        <v>1</v>
      </c>
      <c r="I25" s="8">
        <v>1</v>
      </c>
      <c r="J25" s="8">
        <v>1</v>
      </c>
      <c r="L25" s="1">
        <f t="shared" si="19"/>
        <v>11111111</v>
      </c>
      <c r="M25" s="1" t="str">
        <f t="shared" si="20"/>
        <v>FF</v>
      </c>
      <c r="N25" s="1">
        <f t="shared" si="21"/>
        <v>255</v>
      </c>
      <c r="O25" s="6">
        <f t="shared" si="22"/>
        <v>17</v>
      </c>
      <c r="P25" s="6" t="str">
        <f t="shared" si="23"/>
        <v>SX1276_LoRa_PA_CONFIG_OP_POWER_dBm_17</v>
      </c>
      <c r="S25" s="6" t="str">
        <f t="shared" si="24"/>
        <v xml:space="preserve">#define SX1276_LoRa_PA_CONFIG_OP_POWER_dBm_17 0xFF</v>
      </c>
    </row>
    <row r="29" ht="14.25"/>
  </sheetData>
  <mergeCells count="4">
    <mergeCell ref="D5:F5"/>
    <mergeCell ref="G5:J5"/>
    <mergeCell ref="D10:F10"/>
    <mergeCell ref="G10:J1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2" width="9.140625"/>
    <col bestFit="1" customWidth="1" min="3" max="3" width="14.85546875"/>
    <col bestFit="1" customWidth="1" min="4" max="4" width="15.140625"/>
    <col customWidth="1" min="5" max="6" width="9.140625"/>
    <col bestFit="1" customWidth="1" min="7" max="7" width="20.42578125"/>
    <col customWidth="1" min="8" max="14" width="9.140625"/>
    <col bestFit="1" customWidth="1" min="15" max="15" width="41.140625"/>
    <col bestFit="1" customWidth="1" min="16" max="16" width="50.7109375"/>
    <col customWidth="1" min="17" max="19" width="9.140625"/>
  </cols>
  <sheetData>
    <row r="1">
      <c r="A1" s="6" t="s">
        <v>230</v>
      </c>
      <c r="B1" s="6"/>
      <c r="C1" s="6"/>
      <c r="D1" s="6"/>
      <c r="E1" s="6"/>
      <c r="F1" s="6"/>
      <c r="G1" s="6"/>
      <c r="H1" s="6"/>
      <c r="I1" s="6"/>
      <c r="J1" s="6"/>
      <c r="K1" s="6"/>
      <c r="L1" s="1"/>
      <c r="M1" s="1"/>
      <c r="N1" s="1"/>
      <c r="O1" s="6" t="s">
        <v>12</v>
      </c>
      <c r="P1" s="6" t="s">
        <v>231</v>
      </c>
      <c r="Q1" s="6"/>
      <c r="R1" s="6"/>
      <c r="S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1"/>
      <c r="M2" s="1"/>
      <c r="N2" s="1"/>
      <c r="O2" s="6"/>
      <c r="P2" s="6"/>
      <c r="Q2" s="6"/>
      <c r="R2" s="6"/>
      <c r="S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1"/>
      <c r="M3" s="1"/>
      <c r="N3" s="1"/>
      <c r="O3" s="6"/>
      <c r="P3" s="6"/>
      <c r="Q3" s="6"/>
      <c r="R3" s="6"/>
      <c r="S3" s="6"/>
    </row>
    <row r="4">
      <c r="A4" s="6"/>
      <c r="B4" s="6"/>
      <c r="C4" s="6">
        <v>7</v>
      </c>
      <c r="D4" s="6">
        <v>6</v>
      </c>
      <c r="E4" s="6">
        <v>5</v>
      </c>
      <c r="F4" s="6">
        <v>4</v>
      </c>
      <c r="G4" s="6">
        <v>3</v>
      </c>
      <c r="H4" s="6">
        <v>2</v>
      </c>
      <c r="I4" s="6">
        <v>1</v>
      </c>
      <c r="J4" s="6">
        <v>0</v>
      </c>
      <c r="K4" s="6"/>
      <c r="L4" s="1"/>
      <c r="M4" s="1"/>
      <c r="N4" s="1"/>
      <c r="O4" s="6" t="s">
        <v>14</v>
      </c>
      <c r="P4" s="6" t="s">
        <v>94</v>
      </c>
      <c r="Q4" s="6"/>
      <c r="R4" s="6"/>
      <c r="S4" s="6"/>
    </row>
    <row r="5">
      <c r="A5" s="6"/>
      <c r="B5" s="6"/>
      <c r="C5" s="7" t="s">
        <v>232</v>
      </c>
      <c r="D5" s="7"/>
      <c r="E5" s="7"/>
      <c r="F5" s="7"/>
      <c r="G5" s="7" t="s">
        <v>233</v>
      </c>
      <c r="H5" s="7"/>
      <c r="I5" s="7"/>
      <c r="J5" s="6" t="s">
        <v>234</v>
      </c>
      <c r="K5" s="6"/>
      <c r="L5" s="1"/>
      <c r="M5" s="1"/>
      <c r="N5" s="1"/>
      <c r="O5" s="6" t="s">
        <v>24</v>
      </c>
      <c r="P5" s="6" t="s">
        <v>25</v>
      </c>
      <c r="Q5" s="6"/>
      <c r="R5" s="6"/>
      <c r="S5" s="6"/>
    </row>
    <row r="6">
      <c r="A6" s="6"/>
      <c r="B6" s="6"/>
      <c r="C6" s="6"/>
      <c r="D6" s="6"/>
      <c r="E6" s="6"/>
      <c r="F6" s="6"/>
      <c r="G6" s="6"/>
      <c r="H6" s="6"/>
      <c r="I6" s="6"/>
      <c r="J6" s="6" t="s">
        <v>235</v>
      </c>
      <c r="K6" s="6"/>
      <c r="L6" s="1"/>
      <c r="M6" s="1"/>
      <c r="N6" s="1"/>
      <c r="O6" s="6"/>
      <c r="P6" s="6"/>
      <c r="Q6" s="6"/>
      <c r="R6" s="6"/>
      <c r="S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/>
      <c r="M7" s="1"/>
      <c r="N7" s="1"/>
      <c r="O7" s="6"/>
      <c r="P7" s="6"/>
      <c r="Q7" s="6"/>
      <c r="R7" s="6"/>
      <c r="S7" s="6"/>
    </row>
    <row r="8">
      <c r="A8" s="6"/>
      <c r="B8" s="6"/>
      <c r="C8" s="6" t="s">
        <v>232</v>
      </c>
      <c r="D8" s="6"/>
      <c r="E8" s="6"/>
      <c r="F8" s="6"/>
      <c r="G8" s="6"/>
      <c r="H8" s="6"/>
      <c r="I8" s="6"/>
      <c r="J8" s="6"/>
      <c r="K8" s="6"/>
      <c r="L8" s="1"/>
      <c r="M8" s="1"/>
      <c r="N8" s="1"/>
      <c r="O8" s="6"/>
      <c r="P8" s="6"/>
      <c r="Q8" s="6"/>
      <c r="R8" s="6"/>
      <c r="S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1"/>
      <c r="M9" s="1"/>
      <c r="N9" s="1"/>
      <c r="O9" s="6"/>
      <c r="P9" s="6"/>
      <c r="Q9" s="6"/>
      <c r="R9" s="6"/>
      <c r="S9" s="6"/>
    </row>
    <row r="10">
      <c r="A10" s="6"/>
      <c r="B10" s="6"/>
      <c r="C10" s="7" t="s">
        <v>232</v>
      </c>
      <c r="D10" s="7"/>
      <c r="E10" s="7"/>
      <c r="F10" s="7"/>
      <c r="G10" s="7" t="s">
        <v>233</v>
      </c>
      <c r="H10" s="7"/>
      <c r="I10" s="7"/>
      <c r="J10" s="6" t="s">
        <v>234</v>
      </c>
      <c r="K10" s="6"/>
      <c r="L10" s="1" t="s">
        <v>27</v>
      </c>
      <c r="M10" s="1" t="s">
        <v>28</v>
      </c>
      <c r="N10" s="1" t="s">
        <v>29</v>
      </c>
      <c r="O10" s="1" t="s">
        <v>30</v>
      </c>
      <c r="P10" s="1" t="s">
        <v>31</v>
      </c>
      <c r="Q10" s="6"/>
      <c r="R10" s="6"/>
      <c r="S10" s="1" t="s">
        <v>32</v>
      </c>
    </row>
    <row r="11">
      <c r="A11" s="6"/>
      <c r="B11" s="6"/>
      <c r="C11" s="8">
        <v>0</v>
      </c>
      <c r="D11" s="8">
        <v>0</v>
      </c>
      <c r="E11" s="8">
        <v>0</v>
      </c>
      <c r="F11" s="8">
        <v>0</v>
      </c>
      <c r="G11" s="6">
        <v>0</v>
      </c>
      <c r="H11" s="6">
        <v>0</v>
      </c>
      <c r="I11" s="6">
        <v>0</v>
      </c>
      <c r="J11" s="6">
        <v>0</v>
      </c>
      <c r="K11" s="6"/>
      <c r="L11" s="1">
        <f t="shared" ref="L11:L28" si="25">VALUE(C11&amp;D11&amp;E11&amp;F11&amp;G11&amp;H11&amp;I11&amp;J11)</f>
        <v>0</v>
      </c>
      <c r="M11" s="1" t="str">
        <f t="shared" ref="M11:M28" si="26">BIN2HEX(L11)</f>
        <v>0</v>
      </c>
      <c r="N11" s="1">
        <f t="shared" ref="N11:N28" si="27">BIN2DEC(L11)</f>
        <v>0</v>
      </c>
      <c r="O11" s="6" t="s">
        <v>236</v>
      </c>
      <c r="P11" s="6" t="str">
        <f t="shared" ref="P11:P28" si="28">$P$1&amp;"_"&amp;O11</f>
        <v>SX1276_LoRa_REG_MODEM_CONFIG1_BW_7_8_kHz</v>
      </c>
      <c r="Q11" s="6"/>
      <c r="R11" s="6"/>
      <c r="S11" s="6" t="str">
        <f t="shared" ref="S11:S28" si="29">$P$4&amp;" "&amp;P11&amp;" "&amp;$P$5&amp;M11</f>
        <v xml:space="preserve">#define SX1276_LoRa_REG_MODEM_CONFIG1_BW_7_8_kHz 0x0</v>
      </c>
    </row>
    <row r="12">
      <c r="A12" s="6"/>
      <c r="B12" s="6"/>
      <c r="C12" s="8">
        <v>0</v>
      </c>
      <c r="D12" s="8">
        <v>0</v>
      </c>
      <c r="E12" s="8">
        <v>0</v>
      </c>
      <c r="F12" s="8">
        <v>1</v>
      </c>
      <c r="G12" s="6">
        <v>0</v>
      </c>
      <c r="H12" s="6">
        <v>0</v>
      </c>
      <c r="I12" s="6">
        <v>0</v>
      </c>
      <c r="J12" s="6">
        <v>0</v>
      </c>
      <c r="K12" s="6"/>
      <c r="L12" s="1">
        <f t="shared" si="25"/>
        <v>10000</v>
      </c>
      <c r="M12" s="1" t="str">
        <f t="shared" si="26"/>
        <v>10</v>
      </c>
      <c r="N12" s="1">
        <f t="shared" si="27"/>
        <v>16</v>
      </c>
      <c r="O12" s="6" t="s">
        <v>237</v>
      </c>
      <c r="P12" s="6" t="str">
        <f t="shared" si="28"/>
        <v>SX1276_LoRa_REG_MODEM_CONFIG1_BW_10_4_kHz</v>
      </c>
      <c r="Q12" s="6"/>
      <c r="R12" s="6"/>
      <c r="S12" s="6" t="str">
        <f t="shared" si="29"/>
        <v xml:space="preserve">#define SX1276_LoRa_REG_MODEM_CONFIG1_BW_10_4_kHz 0x10</v>
      </c>
    </row>
    <row r="13">
      <c r="A13" s="6"/>
      <c r="B13" s="6"/>
      <c r="C13" s="8">
        <v>0</v>
      </c>
      <c r="D13" s="8">
        <v>0</v>
      </c>
      <c r="E13" s="8">
        <v>1</v>
      </c>
      <c r="F13" s="8">
        <v>0</v>
      </c>
      <c r="G13" s="6">
        <v>0</v>
      </c>
      <c r="H13" s="6">
        <v>0</v>
      </c>
      <c r="I13" s="6">
        <v>0</v>
      </c>
      <c r="J13" s="6">
        <v>0</v>
      </c>
      <c r="K13" s="6"/>
      <c r="L13" s="1">
        <f t="shared" si="25"/>
        <v>100000</v>
      </c>
      <c r="M13" s="1" t="str">
        <f t="shared" si="26"/>
        <v>20</v>
      </c>
      <c r="N13" s="1">
        <f t="shared" si="27"/>
        <v>32</v>
      </c>
      <c r="O13" s="6" t="s">
        <v>238</v>
      </c>
      <c r="P13" s="6" t="str">
        <f t="shared" si="28"/>
        <v>SX1276_LoRa_REG_MODEM_CONFIG1_BW_15_6_kHz</v>
      </c>
      <c r="Q13" s="6"/>
      <c r="R13" s="6"/>
      <c r="S13" s="6" t="str">
        <f t="shared" si="29"/>
        <v xml:space="preserve">#define SX1276_LoRa_REG_MODEM_CONFIG1_BW_15_6_kHz 0x20</v>
      </c>
    </row>
    <row r="14">
      <c r="A14" s="6"/>
      <c r="B14" s="6"/>
      <c r="C14" s="8">
        <v>0</v>
      </c>
      <c r="D14" s="8">
        <v>0</v>
      </c>
      <c r="E14" s="8">
        <v>1</v>
      </c>
      <c r="F14" s="8">
        <v>1</v>
      </c>
      <c r="G14" s="6">
        <v>0</v>
      </c>
      <c r="H14" s="6">
        <v>0</v>
      </c>
      <c r="I14" s="6">
        <v>0</v>
      </c>
      <c r="J14" s="6">
        <v>0</v>
      </c>
      <c r="K14" s="6"/>
      <c r="L14" s="1">
        <f t="shared" si="25"/>
        <v>110000</v>
      </c>
      <c r="M14" s="1" t="str">
        <f t="shared" si="26"/>
        <v>30</v>
      </c>
      <c r="N14" s="1">
        <f t="shared" si="27"/>
        <v>48</v>
      </c>
      <c r="O14" s="6" t="s">
        <v>239</v>
      </c>
      <c r="P14" s="6" t="str">
        <f t="shared" si="28"/>
        <v>SX1276_LoRa_REG_MODEM_CONFIG1_BW_20_8_kHz</v>
      </c>
      <c r="Q14" s="6"/>
      <c r="R14" s="6"/>
      <c r="S14" s="6" t="str">
        <f t="shared" si="29"/>
        <v xml:space="preserve">#define SX1276_LoRa_REG_MODEM_CONFIG1_BW_20_8_kHz 0x30</v>
      </c>
    </row>
    <row r="15">
      <c r="A15" s="6"/>
      <c r="B15" s="6"/>
      <c r="C15" s="8">
        <v>0</v>
      </c>
      <c r="D15" s="8">
        <v>1</v>
      </c>
      <c r="E15" s="8">
        <v>0</v>
      </c>
      <c r="F15" s="8">
        <v>0</v>
      </c>
      <c r="G15" s="6">
        <v>0</v>
      </c>
      <c r="H15" s="6">
        <v>0</v>
      </c>
      <c r="I15" s="6">
        <v>0</v>
      </c>
      <c r="J15" s="6">
        <v>0</v>
      </c>
      <c r="K15" s="6"/>
      <c r="L15" s="1">
        <f t="shared" si="25"/>
        <v>1000000</v>
      </c>
      <c r="M15" s="1" t="str">
        <f t="shared" si="26"/>
        <v>40</v>
      </c>
      <c r="N15" s="1">
        <f t="shared" si="27"/>
        <v>64</v>
      </c>
      <c r="O15" s="6" t="s">
        <v>240</v>
      </c>
      <c r="P15" s="6" t="str">
        <f t="shared" si="28"/>
        <v>SX1276_LoRa_REG_MODEM_CONFIG1_BW_31_25_kHz</v>
      </c>
      <c r="Q15" s="6"/>
      <c r="R15" s="6"/>
      <c r="S15" s="6" t="str">
        <f t="shared" si="29"/>
        <v xml:space="preserve">#define SX1276_LoRa_REG_MODEM_CONFIG1_BW_31_25_kHz 0x40</v>
      </c>
    </row>
    <row r="16">
      <c r="C16" s="9">
        <v>0</v>
      </c>
      <c r="D16" s="9">
        <v>1</v>
      </c>
      <c r="E16" s="9">
        <v>0</v>
      </c>
      <c r="F16" s="9">
        <v>1</v>
      </c>
      <c r="G16" s="6">
        <v>0</v>
      </c>
      <c r="H16" s="6">
        <v>0</v>
      </c>
      <c r="I16" s="6">
        <v>0</v>
      </c>
      <c r="J16" s="6">
        <v>0</v>
      </c>
      <c r="K16" s="6"/>
      <c r="L16" s="1">
        <f t="shared" si="25"/>
        <v>1010000</v>
      </c>
      <c r="M16" s="1" t="str">
        <f t="shared" si="26"/>
        <v>50</v>
      </c>
      <c r="N16" s="1">
        <f t="shared" si="27"/>
        <v>80</v>
      </c>
      <c r="O16" s="6" t="s">
        <v>241</v>
      </c>
      <c r="P16" s="6" t="str">
        <f t="shared" si="28"/>
        <v>SX1276_LoRa_REG_MODEM_CONFIG1_BW_41_7_kHz</v>
      </c>
      <c r="Q16" s="6"/>
      <c r="R16" s="6"/>
      <c r="S16" s="6" t="str">
        <f t="shared" si="29"/>
        <v xml:space="preserve">#define SX1276_LoRa_REG_MODEM_CONFIG1_BW_41_7_kHz 0x50</v>
      </c>
      <c r="T16" s="6"/>
      <c r="U16" s="6"/>
      <c r="V16" s="6"/>
      <c r="W16" s="6"/>
      <c r="X16" s="6"/>
    </row>
    <row r="17">
      <c r="C17" s="9">
        <v>0</v>
      </c>
      <c r="D17" s="9">
        <v>1</v>
      </c>
      <c r="E17" s="9">
        <v>1</v>
      </c>
      <c r="F17" s="9">
        <v>0</v>
      </c>
      <c r="G17" s="6">
        <v>0</v>
      </c>
      <c r="H17" s="6">
        <v>0</v>
      </c>
      <c r="I17" s="6">
        <v>0</v>
      </c>
      <c r="J17" s="6">
        <v>0</v>
      </c>
      <c r="K17" s="6"/>
      <c r="L17" s="1">
        <f t="shared" si="25"/>
        <v>1100000</v>
      </c>
      <c r="M17" s="1" t="str">
        <f t="shared" si="26"/>
        <v>60</v>
      </c>
      <c r="N17" s="1">
        <f t="shared" si="27"/>
        <v>96</v>
      </c>
      <c r="O17" s="6" t="s">
        <v>242</v>
      </c>
      <c r="P17" s="6" t="str">
        <f t="shared" si="28"/>
        <v>SX1276_LoRa_REG_MODEM_CONFIG1_BW_62_5_kHz</v>
      </c>
      <c r="Q17" s="6"/>
      <c r="R17" s="6"/>
      <c r="S17" s="6" t="str">
        <f t="shared" si="29"/>
        <v xml:space="preserve">#define SX1276_LoRa_REG_MODEM_CONFIG1_BW_62_5_kHz 0x60</v>
      </c>
      <c r="T17" s="6"/>
      <c r="U17" s="6"/>
      <c r="V17" s="6"/>
      <c r="W17" s="6"/>
      <c r="X17" s="6"/>
    </row>
    <row r="18">
      <c r="C18" s="9">
        <v>0</v>
      </c>
      <c r="D18" s="9">
        <v>1</v>
      </c>
      <c r="E18" s="9">
        <v>1</v>
      </c>
      <c r="F18" s="9">
        <v>1</v>
      </c>
      <c r="G18" s="6">
        <v>0</v>
      </c>
      <c r="H18" s="6">
        <v>0</v>
      </c>
      <c r="I18" s="6">
        <v>0</v>
      </c>
      <c r="J18" s="6">
        <v>0</v>
      </c>
      <c r="K18" s="6"/>
      <c r="L18" s="1">
        <f t="shared" si="25"/>
        <v>1110000</v>
      </c>
      <c r="M18" s="1" t="str">
        <f t="shared" si="26"/>
        <v>70</v>
      </c>
      <c r="N18" s="1">
        <f t="shared" si="27"/>
        <v>112</v>
      </c>
      <c r="O18" s="6" t="s">
        <v>243</v>
      </c>
      <c r="P18" s="6" t="str">
        <f t="shared" si="28"/>
        <v>SX1276_LoRa_REG_MODEM_CONFIG1_BW_125_kHz</v>
      </c>
      <c r="Q18" s="6"/>
      <c r="R18" s="6"/>
      <c r="S18" s="6" t="str">
        <f t="shared" si="29"/>
        <v xml:space="preserve">#define SX1276_LoRa_REG_MODEM_CONFIG1_BW_125_kHz 0x70</v>
      </c>
      <c r="T18" s="6"/>
      <c r="U18" s="6"/>
      <c r="V18" s="6"/>
      <c r="W18" s="6"/>
      <c r="X18" s="6"/>
    </row>
    <row r="19">
      <c r="C19" s="9">
        <v>1</v>
      </c>
      <c r="D19" s="9">
        <v>0</v>
      </c>
      <c r="E19" s="9">
        <v>0</v>
      </c>
      <c r="F19" s="9">
        <v>0</v>
      </c>
      <c r="G19" s="6">
        <v>0</v>
      </c>
      <c r="H19" s="6">
        <v>0</v>
      </c>
      <c r="I19" s="6">
        <v>0</v>
      </c>
      <c r="J19" s="6">
        <v>0</v>
      </c>
      <c r="K19" s="6"/>
      <c r="L19" s="1">
        <f t="shared" si="25"/>
        <v>10000000</v>
      </c>
      <c r="M19" s="1" t="str">
        <f t="shared" si="26"/>
        <v>80</v>
      </c>
      <c r="N19" s="1">
        <f t="shared" si="27"/>
        <v>128</v>
      </c>
      <c r="O19" s="6" t="s">
        <v>244</v>
      </c>
      <c r="P19" s="6" t="str">
        <f t="shared" si="28"/>
        <v>SX1276_LoRa_REG_MODEM_CONFIG1_BW_250_kHz</v>
      </c>
      <c r="Q19" s="6"/>
      <c r="R19" s="6"/>
      <c r="S19" s="6" t="str">
        <f t="shared" si="29"/>
        <v xml:space="preserve">#define SX1276_LoRa_REG_MODEM_CONFIG1_BW_250_kHz 0x80</v>
      </c>
      <c r="T19" s="6"/>
      <c r="U19" s="6"/>
      <c r="V19" s="6"/>
      <c r="W19" s="6"/>
      <c r="X19" s="6"/>
    </row>
    <row r="20">
      <c r="C20" s="9">
        <v>1</v>
      </c>
      <c r="D20" s="9">
        <v>0</v>
      </c>
      <c r="E20" s="9">
        <v>0</v>
      </c>
      <c r="F20" s="9">
        <v>1</v>
      </c>
      <c r="G20" s="6">
        <v>0</v>
      </c>
      <c r="H20" s="6">
        <v>0</v>
      </c>
      <c r="I20" s="6">
        <v>0</v>
      </c>
      <c r="J20" s="6">
        <v>0</v>
      </c>
      <c r="K20" s="6"/>
      <c r="L20" s="1">
        <f t="shared" si="25"/>
        <v>10010000</v>
      </c>
      <c r="M20" s="1" t="str">
        <f t="shared" si="26"/>
        <v>90</v>
      </c>
      <c r="N20" s="1">
        <f t="shared" si="27"/>
        <v>144</v>
      </c>
      <c r="O20" s="6" t="s">
        <v>245</v>
      </c>
      <c r="P20" s="6" t="str">
        <f t="shared" si="28"/>
        <v>SX1276_LoRa_REG_MODEM_CONFIG1_BW_500_kHz</v>
      </c>
      <c r="Q20" s="6"/>
      <c r="R20" s="6"/>
      <c r="S20" s="6" t="str">
        <f t="shared" si="29"/>
        <v xml:space="preserve">#define SX1276_LoRa_REG_MODEM_CONFIG1_BW_500_kHz 0x90</v>
      </c>
      <c r="T20" s="6"/>
      <c r="U20" s="6"/>
      <c r="V20" s="6"/>
      <c r="W20" s="6"/>
      <c r="X20" s="6"/>
    </row>
    <row r="21"/>
    <row r="22"/>
    <row r="23">
      <c r="C23" t="s">
        <v>246</v>
      </c>
    </row>
    <row r="24">
      <c r="A24" s="6"/>
      <c r="B24" s="6"/>
      <c r="C24" s="7" t="s">
        <v>232</v>
      </c>
      <c r="D24" s="7"/>
      <c r="E24" s="7"/>
      <c r="F24" s="7"/>
      <c r="G24" s="7" t="s">
        <v>233</v>
      </c>
      <c r="H24" s="7"/>
      <c r="I24" s="7"/>
      <c r="J24" s="6" t="s">
        <v>234</v>
      </c>
      <c r="K24" s="6"/>
      <c r="L24" s="1" t="s">
        <v>27</v>
      </c>
      <c r="M24" s="1" t="s">
        <v>28</v>
      </c>
      <c r="N24" s="1" t="s">
        <v>29</v>
      </c>
      <c r="O24" s="1" t="s">
        <v>30</v>
      </c>
      <c r="P24" s="1" t="s">
        <v>31</v>
      </c>
      <c r="Q24" s="6"/>
      <c r="R24" s="6"/>
      <c r="S24" s="1"/>
    </row>
    <row r="25">
      <c r="A25" s="6"/>
      <c r="B25" s="6"/>
      <c r="C25" s="6">
        <v>0</v>
      </c>
      <c r="D25" s="6">
        <v>0</v>
      </c>
      <c r="E25" s="6">
        <v>0</v>
      </c>
      <c r="F25" s="6">
        <v>0</v>
      </c>
      <c r="G25" s="8">
        <v>0</v>
      </c>
      <c r="H25" s="8">
        <v>0</v>
      </c>
      <c r="I25" s="8">
        <v>1</v>
      </c>
      <c r="J25" s="6">
        <v>0</v>
      </c>
      <c r="K25" s="6"/>
      <c r="L25" s="1">
        <f t="shared" si="25"/>
        <v>10</v>
      </c>
      <c r="M25" s="1" t="str">
        <f t="shared" si="26"/>
        <v>2</v>
      </c>
      <c r="N25" s="1">
        <f t="shared" si="27"/>
        <v>2</v>
      </c>
      <c r="O25" s="6" t="s">
        <v>247</v>
      </c>
      <c r="P25" s="6" t="str">
        <f t="shared" si="28"/>
        <v>SX1276_LoRa_REG_MODEM_CONFIG1_CR_4_5</v>
      </c>
      <c r="Q25" s="6"/>
      <c r="R25" s="6"/>
      <c r="S25" s="6" t="str">
        <f t="shared" si="29"/>
        <v xml:space="preserve">#define SX1276_LoRa_REG_MODEM_CONFIG1_CR_4_5 0x2</v>
      </c>
    </row>
    <row r="26">
      <c r="A26" s="6"/>
      <c r="B26" s="6"/>
      <c r="C26" s="6">
        <v>0</v>
      </c>
      <c r="D26" s="6">
        <v>0</v>
      </c>
      <c r="E26" s="6">
        <v>0</v>
      </c>
      <c r="F26" s="6">
        <v>0</v>
      </c>
      <c r="G26" s="8">
        <v>0</v>
      </c>
      <c r="H26" s="8">
        <v>1</v>
      </c>
      <c r="I26" s="8">
        <v>0</v>
      </c>
      <c r="J26" s="6">
        <v>0</v>
      </c>
      <c r="K26" s="6"/>
      <c r="L26" s="1">
        <f t="shared" si="25"/>
        <v>100</v>
      </c>
      <c r="M26" s="1" t="str">
        <f t="shared" si="26"/>
        <v>4</v>
      </c>
      <c r="N26" s="1">
        <f t="shared" si="27"/>
        <v>4</v>
      </c>
      <c r="O26" s="6" t="s">
        <v>248</v>
      </c>
      <c r="P26" s="6" t="str">
        <f t="shared" si="28"/>
        <v>SX1276_LoRa_REG_MODEM_CONFIG1_CR_4_6</v>
      </c>
      <c r="Q26" s="6"/>
      <c r="R26" s="6"/>
      <c r="S26" s="6" t="str">
        <f t="shared" si="29"/>
        <v xml:space="preserve">#define SX1276_LoRa_REG_MODEM_CONFIG1_CR_4_6 0x4</v>
      </c>
    </row>
    <row r="27">
      <c r="A27" s="6"/>
      <c r="B27" s="6"/>
      <c r="C27" s="6">
        <v>0</v>
      </c>
      <c r="D27" s="6">
        <v>0</v>
      </c>
      <c r="E27" s="6">
        <v>0</v>
      </c>
      <c r="F27" s="6">
        <v>0</v>
      </c>
      <c r="G27" s="8">
        <v>0</v>
      </c>
      <c r="H27" s="8">
        <v>1</v>
      </c>
      <c r="I27" s="8">
        <v>1</v>
      </c>
      <c r="J27" s="6">
        <v>0</v>
      </c>
      <c r="K27" s="6"/>
      <c r="L27" s="1">
        <f t="shared" si="25"/>
        <v>110</v>
      </c>
      <c r="M27" s="1" t="str">
        <f t="shared" si="26"/>
        <v>6</v>
      </c>
      <c r="N27" s="1">
        <f t="shared" si="27"/>
        <v>6</v>
      </c>
      <c r="O27" s="6" t="s">
        <v>249</v>
      </c>
      <c r="P27" s="6" t="str">
        <f t="shared" si="28"/>
        <v>SX1276_LoRa_REG_MODEM_CONFIG1_CR_4_7</v>
      </c>
      <c r="Q27" s="6"/>
      <c r="R27" s="6"/>
      <c r="S27" s="6" t="str">
        <f t="shared" si="29"/>
        <v xml:space="preserve">#define SX1276_LoRa_REG_MODEM_CONFIG1_CR_4_7 0x6</v>
      </c>
    </row>
    <row r="28">
      <c r="A28" s="6"/>
      <c r="B28" s="6"/>
      <c r="C28" s="6">
        <v>0</v>
      </c>
      <c r="D28" s="6">
        <v>0</v>
      </c>
      <c r="E28" s="6">
        <v>0</v>
      </c>
      <c r="F28" s="6">
        <v>0</v>
      </c>
      <c r="G28" s="8">
        <v>1</v>
      </c>
      <c r="H28" s="8">
        <v>0</v>
      </c>
      <c r="I28" s="8">
        <v>0</v>
      </c>
      <c r="J28" s="6">
        <v>0</v>
      </c>
      <c r="K28" s="6"/>
      <c r="L28" s="1">
        <f t="shared" si="25"/>
        <v>1000</v>
      </c>
      <c r="M28" s="1" t="str">
        <f t="shared" si="26"/>
        <v>8</v>
      </c>
      <c r="N28" s="1">
        <f t="shared" si="27"/>
        <v>8</v>
      </c>
      <c r="O28" s="6" t="s">
        <v>250</v>
      </c>
      <c r="P28" s="6" t="str">
        <f t="shared" si="28"/>
        <v>SX1276_LoRa_REG_MODEM_CONFIG1_CR_4_8</v>
      </c>
      <c r="Q28" s="6"/>
      <c r="R28" s="6"/>
      <c r="S28" s="6" t="str">
        <f t="shared" si="29"/>
        <v xml:space="preserve">#define SX1276_LoRa_REG_MODEM_CONFIG1_CR_4_8 0x8</v>
      </c>
    </row>
    <row r="29"/>
  </sheetData>
  <mergeCells count="6">
    <mergeCell ref="C5:F5"/>
    <mergeCell ref="G5:I5"/>
    <mergeCell ref="C10:F10"/>
    <mergeCell ref="G10:I10"/>
    <mergeCell ref="C24:F24"/>
    <mergeCell ref="G24:I24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2" width="9.140625"/>
    <col bestFit="1" customWidth="1" min="3" max="3" width="14.85546875"/>
    <col bestFit="1" customWidth="1" min="4" max="4" width="15.140625"/>
    <col customWidth="1" min="5" max="6" width="9.140625"/>
    <col bestFit="1" customWidth="1" min="7" max="7" width="20.42578125"/>
    <col customWidth="1" min="8" max="14" width="9.140625"/>
    <col bestFit="1" customWidth="1" min="15" max="15" width="41.140625"/>
    <col bestFit="1" customWidth="1" min="16" max="16" width="50.7109375"/>
    <col customWidth="1" min="17" max="24" width="9.140625"/>
  </cols>
  <sheetData>
    <row r="1">
      <c r="A1" s="6" t="s">
        <v>251</v>
      </c>
      <c r="B1" s="6"/>
      <c r="C1" s="6"/>
      <c r="D1" s="6"/>
      <c r="E1" s="6"/>
      <c r="F1" s="6"/>
      <c r="G1" s="6"/>
      <c r="H1" s="6"/>
      <c r="I1" s="6"/>
      <c r="J1" s="6"/>
      <c r="K1" s="6"/>
      <c r="L1" s="1"/>
      <c r="M1" s="1"/>
      <c r="N1" s="1"/>
      <c r="O1" s="6" t="s">
        <v>12</v>
      </c>
      <c r="P1" s="6" t="s">
        <v>252</v>
      </c>
      <c r="Q1" s="6"/>
      <c r="R1" s="6"/>
      <c r="S1" s="6"/>
      <c r="T1" s="6"/>
      <c r="U1" s="6"/>
      <c r="V1" s="6"/>
      <c r="W1" s="6"/>
      <c r="X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1"/>
      <c r="M2" s="1"/>
      <c r="N2" s="1"/>
      <c r="O2" s="6"/>
      <c r="P2" s="6"/>
      <c r="Q2" s="6"/>
      <c r="R2" s="6"/>
      <c r="S2" s="6"/>
      <c r="T2" s="6"/>
      <c r="U2" s="6"/>
      <c r="V2" s="6"/>
      <c r="W2" s="6"/>
      <c r="X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1"/>
      <c r="M3" s="1"/>
      <c r="N3" s="1"/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6"/>
      <c r="B4" s="6"/>
      <c r="C4" s="6">
        <v>7</v>
      </c>
      <c r="D4" s="6">
        <v>6</v>
      </c>
      <c r="E4" s="6">
        <v>5</v>
      </c>
      <c r="F4" s="6">
        <v>4</v>
      </c>
      <c r="G4" s="6">
        <v>3</v>
      </c>
      <c r="H4" s="6">
        <v>2</v>
      </c>
      <c r="I4" s="6">
        <v>1</v>
      </c>
      <c r="J4" s="6">
        <v>0</v>
      </c>
      <c r="K4" s="6"/>
      <c r="L4" s="1"/>
      <c r="M4" s="1"/>
      <c r="N4" s="1"/>
      <c r="O4" s="6" t="s">
        <v>14</v>
      </c>
      <c r="P4" s="6" t="s">
        <v>94</v>
      </c>
      <c r="Q4" s="6"/>
      <c r="R4" s="6"/>
      <c r="S4" s="6"/>
      <c r="T4" s="6"/>
      <c r="U4" s="6"/>
      <c r="V4" s="6"/>
      <c r="W4" s="6"/>
      <c r="X4" s="6"/>
    </row>
    <row r="5">
      <c r="A5" s="6"/>
      <c r="B5" s="6"/>
      <c r="C5" s="7" t="s">
        <v>253</v>
      </c>
      <c r="D5" s="7"/>
      <c r="E5" s="7"/>
      <c r="F5" s="7"/>
      <c r="G5" s="6" t="s">
        <v>254</v>
      </c>
      <c r="H5" s="6" t="s">
        <v>255</v>
      </c>
      <c r="I5" s="7" t="s">
        <v>256</v>
      </c>
      <c r="J5" s="7"/>
      <c r="K5" s="6"/>
      <c r="L5" s="1"/>
      <c r="M5" s="1"/>
      <c r="N5" s="1"/>
      <c r="O5" s="6" t="s">
        <v>24</v>
      </c>
      <c r="P5" s="6" t="s">
        <v>25</v>
      </c>
      <c r="Q5" s="6"/>
      <c r="R5" s="6"/>
      <c r="S5" s="6"/>
      <c r="T5" s="6"/>
      <c r="U5" s="6"/>
      <c r="V5" s="6"/>
      <c r="W5" s="6"/>
      <c r="X5" s="6"/>
    </row>
    <row r="6">
      <c r="A6" s="6"/>
      <c r="B6" s="6"/>
      <c r="C6" s="6"/>
      <c r="D6" s="6"/>
      <c r="E6" s="6"/>
      <c r="F6" s="6"/>
      <c r="G6" s="6">
        <v>0</v>
      </c>
      <c r="H6" s="6">
        <v>0</v>
      </c>
      <c r="I6" s="6">
        <v>0</v>
      </c>
      <c r="J6" s="6">
        <v>0</v>
      </c>
      <c r="K6" s="6"/>
      <c r="L6" s="1"/>
      <c r="M6" s="1"/>
      <c r="N6" s="1"/>
      <c r="O6" s="6"/>
      <c r="P6" s="6"/>
      <c r="Q6" s="6"/>
      <c r="R6" s="6"/>
      <c r="S6" s="6"/>
      <c r="T6" s="6"/>
      <c r="U6" s="6"/>
      <c r="V6" s="6"/>
      <c r="W6" s="6"/>
      <c r="X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/>
      <c r="M7" s="1"/>
      <c r="N7" s="1"/>
      <c r="O7" s="6"/>
      <c r="P7" s="6"/>
      <c r="Q7" s="6"/>
      <c r="R7" s="6"/>
      <c r="S7" s="6"/>
      <c r="T7" s="6"/>
      <c r="U7" s="6"/>
      <c r="V7" s="6"/>
      <c r="W7" s="6"/>
      <c r="X7" s="6"/>
    </row>
    <row r="8">
      <c r="A8" s="6"/>
      <c r="B8" s="6"/>
      <c r="C8" s="6" t="s">
        <v>232</v>
      </c>
      <c r="D8" s="6"/>
      <c r="E8" s="6"/>
      <c r="F8" s="6"/>
      <c r="G8" s="6"/>
      <c r="H8" s="6"/>
      <c r="I8" s="6"/>
      <c r="J8" s="6"/>
      <c r="K8" s="6"/>
      <c r="L8" s="1"/>
      <c r="M8" s="1"/>
      <c r="N8" s="1"/>
      <c r="O8" s="6"/>
      <c r="P8" s="6"/>
      <c r="Q8" s="6"/>
      <c r="R8" s="6"/>
      <c r="S8" s="6"/>
      <c r="T8" s="6"/>
      <c r="U8" s="6"/>
      <c r="V8" s="6"/>
      <c r="W8" s="6"/>
      <c r="X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1"/>
      <c r="M9" s="1"/>
      <c r="N9" s="1"/>
      <c r="O9" s="6"/>
      <c r="P9" s="6"/>
      <c r="Q9" s="6"/>
      <c r="R9" s="6"/>
      <c r="S9" s="6"/>
      <c r="T9" s="6"/>
      <c r="U9" s="6"/>
      <c r="V9" s="6"/>
      <c r="W9" s="6"/>
      <c r="X9" s="6"/>
    </row>
    <row r="10">
      <c r="A10" s="6"/>
      <c r="B10" s="6"/>
      <c r="C10" s="7" t="s">
        <v>253</v>
      </c>
      <c r="D10" s="7"/>
      <c r="E10" s="7"/>
      <c r="F10" s="7"/>
      <c r="G10" s="6" t="s">
        <v>254</v>
      </c>
      <c r="H10" s="6" t="s">
        <v>255</v>
      </c>
      <c r="I10" s="7" t="s">
        <v>256</v>
      </c>
      <c r="J10" s="7"/>
      <c r="K10" s="6"/>
      <c r="L10" s="1" t="s">
        <v>27</v>
      </c>
      <c r="M10" s="1" t="s">
        <v>28</v>
      </c>
      <c r="N10" s="1" t="s">
        <v>29</v>
      </c>
      <c r="O10" s="1" t="s">
        <v>30</v>
      </c>
      <c r="P10" s="1" t="s">
        <v>31</v>
      </c>
      <c r="Q10" s="6"/>
      <c r="R10" s="6"/>
      <c r="S10" s="1" t="s">
        <v>32</v>
      </c>
      <c r="T10" s="6"/>
      <c r="U10" s="6"/>
      <c r="V10" s="6"/>
      <c r="W10" s="6"/>
      <c r="X10" s="6"/>
    </row>
    <row r="11">
      <c r="A11" s="6"/>
      <c r="B11" s="6"/>
      <c r="C11" s="9">
        <v>0</v>
      </c>
      <c r="D11" s="9">
        <v>1</v>
      </c>
      <c r="E11" s="9">
        <v>1</v>
      </c>
      <c r="F11" s="9">
        <v>0</v>
      </c>
      <c r="G11" s="6">
        <v>0</v>
      </c>
      <c r="H11" s="6">
        <v>0</v>
      </c>
      <c r="I11" s="6">
        <v>0</v>
      </c>
      <c r="J11" s="6">
        <v>0</v>
      </c>
      <c r="K11" s="6"/>
      <c r="L11" s="1">
        <f t="shared" ref="L11:L17" si="30">VALUE(C11&amp;D11&amp;E11&amp;F11&amp;G11&amp;H11&amp;I11&amp;J11)</f>
        <v>1100000</v>
      </c>
      <c r="M11" s="1" t="str">
        <f t="shared" ref="M11:M17" si="31">BIN2HEX(L11)</f>
        <v>60</v>
      </c>
      <c r="N11" s="1">
        <f t="shared" ref="N11:N17" si="32">BIN2DEC(L11)</f>
        <v>96</v>
      </c>
      <c r="O11" s="6" t="s">
        <v>257</v>
      </c>
      <c r="P11" s="6" t="str">
        <f t="shared" ref="P11:P17" si="33">$P$1&amp;"_"&amp;O11</f>
        <v>SX1276_LoRa_REG_MODEM_CONFIG2_SF6</v>
      </c>
      <c r="Q11" s="6"/>
      <c r="R11" s="6"/>
      <c r="S11" s="6" t="str">
        <f t="shared" ref="S11:S17" si="34">$P$4&amp;" "&amp;P11&amp;" "&amp;$P$5&amp;M11</f>
        <v xml:space="preserve">#define SX1276_LoRa_REG_MODEM_CONFIG2_SF6 0x60</v>
      </c>
      <c r="T11" s="6"/>
      <c r="U11" s="6"/>
      <c r="V11" s="6"/>
      <c r="W11" s="6"/>
      <c r="X11" s="6"/>
    </row>
    <row r="12">
      <c r="A12" s="6"/>
      <c r="B12" s="6"/>
      <c r="C12" s="9">
        <v>0</v>
      </c>
      <c r="D12" s="9">
        <v>1</v>
      </c>
      <c r="E12" s="9">
        <v>1</v>
      </c>
      <c r="F12" s="9">
        <v>1</v>
      </c>
      <c r="G12" s="6">
        <v>0</v>
      </c>
      <c r="H12" s="6">
        <v>0</v>
      </c>
      <c r="I12" s="6">
        <v>0</v>
      </c>
      <c r="J12" s="6">
        <v>0</v>
      </c>
      <c r="K12" s="6"/>
      <c r="L12" s="1">
        <f t="shared" si="30"/>
        <v>1110000</v>
      </c>
      <c r="M12" s="1" t="str">
        <f t="shared" si="31"/>
        <v>70</v>
      </c>
      <c r="N12" s="1">
        <f t="shared" si="32"/>
        <v>112</v>
      </c>
      <c r="O12" s="6" t="s">
        <v>258</v>
      </c>
      <c r="P12" s="6" t="str">
        <f t="shared" si="33"/>
        <v>SX1276_LoRa_REG_MODEM_CONFIG2_SF7</v>
      </c>
      <c r="Q12" s="6"/>
      <c r="R12" s="6"/>
      <c r="S12" s="6" t="str">
        <f t="shared" si="34"/>
        <v xml:space="preserve">#define SX1276_LoRa_REG_MODEM_CONFIG2_SF7 0x70</v>
      </c>
      <c r="T12" s="6"/>
      <c r="U12" s="6"/>
      <c r="V12" s="6"/>
      <c r="W12" s="6"/>
      <c r="X12" s="6"/>
    </row>
    <row r="13">
      <c r="A13" s="6"/>
      <c r="B13" s="6"/>
      <c r="C13" s="9">
        <v>1</v>
      </c>
      <c r="D13" s="9">
        <v>0</v>
      </c>
      <c r="E13" s="9">
        <v>0</v>
      </c>
      <c r="F13" s="9">
        <v>0</v>
      </c>
      <c r="G13" s="6">
        <v>0</v>
      </c>
      <c r="H13" s="6">
        <v>0</v>
      </c>
      <c r="I13" s="6">
        <v>0</v>
      </c>
      <c r="J13" s="6">
        <v>0</v>
      </c>
      <c r="K13" s="6"/>
      <c r="L13" s="1">
        <f t="shared" si="30"/>
        <v>10000000</v>
      </c>
      <c r="M13" s="1" t="str">
        <f t="shared" si="31"/>
        <v>80</v>
      </c>
      <c r="N13" s="1">
        <f t="shared" si="32"/>
        <v>128</v>
      </c>
      <c r="O13" s="6" t="s">
        <v>259</v>
      </c>
      <c r="P13" s="6" t="str">
        <f t="shared" si="33"/>
        <v>SX1276_LoRa_REG_MODEM_CONFIG2_SF8</v>
      </c>
      <c r="Q13" s="6"/>
      <c r="R13" s="6"/>
      <c r="S13" s="6" t="str">
        <f t="shared" si="34"/>
        <v xml:space="preserve">#define SX1276_LoRa_REG_MODEM_CONFIG2_SF8 0x80</v>
      </c>
      <c r="T13" s="6"/>
      <c r="U13" s="6"/>
      <c r="V13" s="6"/>
      <c r="W13" s="6"/>
      <c r="X13" s="6"/>
    </row>
    <row r="14">
      <c r="A14" s="6"/>
      <c r="B14" s="6"/>
      <c r="C14" s="9">
        <v>1</v>
      </c>
      <c r="D14" s="9">
        <v>0</v>
      </c>
      <c r="E14" s="9">
        <v>0</v>
      </c>
      <c r="F14" s="9">
        <v>1</v>
      </c>
      <c r="G14" s="6">
        <v>0</v>
      </c>
      <c r="H14" s="6">
        <v>0</v>
      </c>
      <c r="I14" s="6">
        <v>0</v>
      </c>
      <c r="J14" s="6">
        <v>0</v>
      </c>
      <c r="K14" s="6"/>
      <c r="L14" s="1">
        <f t="shared" si="30"/>
        <v>10010000</v>
      </c>
      <c r="M14" s="1" t="str">
        <f t="shared" si="31"/>
        <v>90</v>
      </c>
      <c r="N14" s="1">
        <f t="shared" si="32"/>
        <v>144</v>
      </c>
      <c r="O14" s="6" t="s">
        <v>260</v>
      </c>
      <c r="P14" s="6" t="str">
        <f t="shared" si="33"/>
        <v>SX1276_LoRa_REG_MODEM_CONFIG2_SF9</v>
      </c>
      <c r="Q14" s="6"/>
      <c r="R14" s="6"/>
      <c r="S14" s="6" t="str">
        <f t="shared" si="34"/>
        <v xml:space="preserve">#define SX1276_LoRa_REG_MODEM_CONFIG2_SF9 0x90</v>
      </c>
      <c r="T14" s="6"/>
      <c r="U14" s="6"/>
      <c r="V14" s="6"/>
      <c r="W14" s="6"/>
      <c r="X14" s="6"/>
    </row>
    <row r="15">
      <c r="A15" s="6"/>
      <c r="B15" s="6"/>
      <c r="C15" s="9">
        <v>1</v>
      </c>
      <c r="D15" s="9">
        <v>0</v>
      </c>
      <c r="E15" s="9">
        <v>1</v>
      </c>
      <c r="F15" s="9">
        <v>0</v>
      </c>
      <c r="G15" s="6">
        <v>0</v>
      </c>
      <c r="H15" s="6">
        <v>0</v>
      </c>
      <c r="I15" s="6">
        <v>0</v>
      </c>
      <c r="J15" s="6">
        <v>0</v>
      </c>
      <c r="K15" s="6"/>
      <c r="L15" s="1">
        <f t="shared" si="30"/>
        <v>10100000</v>
      </c>
      <c r="M15" s="1" t="str">
        <f t="shared" si="31"/>
        <v>A0</v>
      </c>
      <c r="N15" s="1">
        <f t="shared" si="32"/>
        <v>160</v>
      </c>
      <c r="O15" s="6" t="s">
        <v>261</v>
      </c>
      <c r="P15" s="6" t="str">
        <f t="shared" si="33"/>
        <v>SX1276_LoRa_REG_MODEM_CONFIG2_SF10</v>
      </c>
      <c r="Q15" s="6"/>
      <c r="R15" s="6"/>
      <c r="S15" s="6" t="str">
        <f t="shared" si="34"/>
        <v xml:space="preserve">#define SX1276_LoRa_REG_MODEM_CONFIG2_SF10 0xA0</v>
      </c>
      <c r="T15" s="6"/>
      <c r="U15" s="6"/>
      <c r="V15" s="6"/>
      <c r="W15" s="6"/>
      <c r="X15" s="6"/>
    </row>
    <row r="16">
      <c r="A16" s="6"/>
      <c r="B16" s="6"/>
      <c r="C16" s="9">
        <v>1</v>
      </c>
      <c r="D16" s="9">
        <v>0</v>
      </c>
      <c r="E16" s="9">
        <v>1</v>
      </c>
      <c r="F16" s="9">
        <v>1</v>
      </c>
      <c r="G16" s="6">
        <v>0</v>
      </c>
      <c r="H16" s="6">
        <v>0</v>
      </c>
      <c r="I16" s="6">
        <v>0</v>
      </c>
      <c r="J16" s="6">
        <v>0</v>
      </c>
      <c r="K16" s="6"/>
      <c r="L16" s="1">
        <f t="shared" si="30"/>
        <v>10110000</v>
      </c>
      <c r="M16" s="1" t="str">
        <f t="shared" si="31"/>
        <v>B0</v>
      </c>
      <c r="N16" s="1">
        <f t="shared" si="32"/>
        <v>176</v>
      </c>
      <c r="O16" s="6" t="s">
        <v>262</v>
      </c>
      <c r="P16" s="6" t="str">
        <f t="shared" si="33"/>
        <v>SX1276_LoRa_REG_MODEM_CONFIG2_SF11</v>
      </c>
      <c r="Q16" s="6"/>
      <c r="R16" s="6"/>
      <c r="S16" s="6" t="str">
        <f t="shared" si="34"/>
        <v xml:space="preserve">#define SX1276_LoRa_REG_MODEM_CONFIG2_SF11 0xB0</v>
      </c>
      <c r="T16" s="6"/>
      <c r="U16" s="6"/>
      <c r="V16" s="6"/>
      <c r="W16" s="6"/>
      <c r="X16" s="6"/>
    </row>
    <row r="17">
      <c r="A17" s="6"/>
      <c r="B17" s="6"/>
      <c r="C17" s="9">
        <v>1</v>
      </c>
      <c r="D17" s="9">
        <v>1</v>
      </c>
      <c r="E17" s="9">
        <v>0</v>
      </c>
      <c r="F17" s="9">
        <v>0</v>
      </c>
      <c r="G17" s="6">
        <v>0</v>
      </c>
      <c r="H17" s="6">
        <v>0</v>
      </c>
      <c r="I17" s="6">
        <v>0</v>
      </c>
      <c r="J17" s="6">
        <v>0</v>
      </c>
      <c r="K17" s="6"/>
      <c r="L17" s="1">
        <f t="shared" si="30"/>
        <v>11000000</v>
      </c>
      <c r="M17" s="1" t="str">
        <f t="shared" si="31"/>
        <v>C0</v>
      </c>
      <c r="N17" s="1">
        <f t="shared" si="32"/>
        <v>192</v>
      </c>
      <c r="O17" s="6" t="s">
        <v>263</v>
      </c>
      <c r="P17" s="6" t="str">
        <f t="shared" si="33"/>
        <v>SX1276_LoRa_REG_MODEM_CONFIG2_SF12</v>
      </c>
      <c r="Q17" s="6"/>
      <c r="R17" s="6"/>
      <c r="S17" s="6" t="str">
        <f t="shared" si="34"/>
        <v xml:space="preserve">#define SX1276_LoRa_REG_MODEM_CONFIG2_SF12 0xC0</v>
      </c>
      <c r="T17" s="6"/>
      <c r="U17" s="6"/>
      <c r="V17" s="6"/>
      <c r="W17" s="6"/>
      <c r="X17" s="6"/>
    </row>
    <row r="18"/>
    <row r="19"/>
    <row r="20"/>
    <row r="21"/>
    <row r="22"/>
    <row r="23"/>
    <row r="24"/>
    <row r="25"/>
    <row r="26"/>
    <row r="27"/>
    <row r="28"/>
    <row r="29"/>
  </sheetData>
  <mergeCells count="4">
    <mergeCell ref="C5:F5"/>
    <mergeCell ref="I5:J5"/>
    <mergeCell ref="C10:F10"/>
    <mergeCell ref="I10:J1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2" width="9.140625"/>
    <col bestFit="1" customWidth="1" min="3" max="3" width="14.85546875"/>
    <col bestFit="1" customWidth="1" min="4" max="4" width="15.140625"/>
    <col customWidth="1" min="5" max="5" width="15.140625"/>
    <col customWidth="1" min="6" max="6" width="12.8515625"/>
    <col bestFit="1" customWidth="1" min="7" max="7" width="20.42578125"/>
    <col customWidth="1" min="8" max="8" width="9.140625"/>
    <col customWidth="1" min="9" max="9" width="22.8515625"/>
    <col bestFit="1" customWidth="1" min="10" max="10" width="11.7109375"/>
    <col customWidth="1" min="11" max="14" width="9.140625"/>
    <col bestFit="1" customWidth="1" min="15" max="15" width="41.140625"/>
    <col bestFit="1" customWidth="1" min="16" max="16" width="50.7109375"/>
    <col customWidth="1" min="17" max="24" width="9.140625"/>
  </cols>
  <sheetData>
    <row r="1" ht="14.25">
      <c r="A1" s="10" t="s">
        <v>264</v>
      </c>
      <c r="B1" s="6"/>
      <c r="C1" s="6"/>
      <c r="D1" s="6"/>
      <c r="E1" s="6"/>
      <c r="F1" s="6"/>
      <c r="G1" s="6"/>
      <c r="H1" s="6"/>
      <c r="I1" s="6"/>
      <c r="J1" s="6"/>
      <c r="K1" s="6"/>
      <c r="L1" s="1"/>
      <c r="M1" s="1"/>
      <c r="N1" s="1"/>
      <c r="O1" s="6" t="s">
        <v>12</v>
      </c>
      <c r="P1" s="10" t="s">
        <v>265</v>
      </c>
      <c r="Q1" s="6"/>
      <c r="R1" s="6"/>
      <c r="S1" s="6"/>
      <c r="T1" s="6"/>
      <c r="U1" s="6"/>
      <c r="V1" s="6"/>
      <c r="W1" s="6"/>
      <c r="X1" s="6"/>
    </row>
    <row r="2" ht="14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1"/>
      <c r="M2" s="1"/>
      <c r="N2" s="1"/>
      <c r="O2" s="6"/>
      <c r="P2" s="6"/>
      <c r="Q2" s="6"/>
      <c r="R2" s="6"/>
      <c r="S2" s="6"/>
      <c r="T2" s="6"/>
      <c r="U2" s="6"/>
      <c r="V2" s="6"/>
      <c r="W2" s="6"/>
      <c r="X2" s="6"/>
    </row>
    <row r="3" ht="14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1"/>
      <c r="M3" s="1"/>
      <c r="N3" s="1"/>
      <c r="O3" s="6"/>
      <c r="P3" s="6"/>
      <c r="Q3" s="6"/>
      <c r="R3" s="6"/>
      <c r="S3" s="6"/>
      <c r="T3" s="6"/>
      <c r="U3" s="6"/>
      <c r="V3" s="6"/>
      <c r="W3" s="6"/>
      <c r="X3" s="6"/>
    </row>
    <row r="4" ht="14.25">
      <c r="A4" s="6"/>
      <c r="B4" s="6"/>
      <c r="C4" s="6">
        <v>7</v>
      </c>
      <c r="D4" s="6">
        <v>6</v>
      </c>
      <c r="E4" s="6">
        <v>5</v>
      </c>
      <c r="F4" s="6">
        <v>4</v>
      </c>
      <c r="G4" s="6">
        <v>3</v>
      </c>
      <c r="H4" s="6">
        <v>2</v>
      </c>
      <c r="I4" s="6">
        <v>1</v>
      </c>
      <c r="J4" s="6">
        <v>0</v>
      </c>
      <c r="K4" s="6"/>
      <c r="L4" s="1"/>
      <c r="M4" s="1"/>
      <c r="N4" s="1"/>
      <c r="O4" s="6" t="s">
        <v>14</v>
      </c>
      <c r="P4" s="6" t="s">
        <v>94</v>
      </c>
      <c r="Q4" s="6"/>
      <c r="R4" s="6"/>
      <c r="S4" s="6"/>
      <c r="T4" s="6"/>
      <c r="U4" s="6"/>
      <c r="V4" s="6"/>
      <c r="W4" s="6"/>
      <c r="X4" s="6"/>
    </row>
    <row r="5" ht="14.25">
      <c r="A5" s="6"/>
      <c r="B5" s="6"/>
      <c r="C5" s="11" t="s">
        <v>266</v>
      </c>
      <c r="D5" s="12" t="s">
        <v>267</v>
      </c>
      <c r="E5" s="12" t="s">
        <v>268</v>
      </c>
      <c r="F5" s="12" t="s">
        <v>269</v>
      </c>
      <c r="G5" s="12" t="s">
        <v>270</v>
      </c>
      <c r="H5" s="12" t="s">
        <v>271</v>
      </c>
      <c r="I5" s="12" t="s">
        <v>272</v>
      </c>
      <c r="J5" s="12" t="s">
        <v>273</v>
      </c>
      <c r="K5" s="6"/>
      <c r="L5" s="1"/>
      <c r="M5" s="1"/>
      <c r="N5" s="1"/>
      <c r="O5" s="6" t="s">
        <v>24</v>
      </c>
      <c r="P5" s="6" t="s">
        <v>25</v>
      </c>
      <c r="Q5" s="6"/>
      <c r="R5" s="6"/>
      <c r="S5" s="6"/>
      <c r="T5" s="6"/>
      <c r="U5" s="6"/>
      <c r="V5" s="6"/>
      <c r="W5" s="6"/>
      <c r="X5" s="6"/>
    </row>
    <row r="6" ht="14.25">
      <c r="A6" s="6"/>
      <c r="B6" s="6"/>
      <c r="C6" s="12">
        <v>0</v>
      </c>
      <c r="D6" s="6">
        <v>0</v>
      </c>
      <c r="E6" s="6">
        <v>0</v>
      </c>
      <c r="F6" s="6">
        <v>1</v>
      </c>
      <c r="G6" s="6">
        <v>0</v>
      </c>
      <c r="H6" s="6">
        <v>1</v>
      </c>
      <c r="I6" s="6">
        <v>0</v>
      </c>
      <c r="J6" s="6">
        <v>1</v>
      </c>
      <c r="K6" s="6"/>
      <c r="L6" s="1"/>
      <c r="M6" s="1"/>
      <c r="N6" s="1"/>
      <c r="O6" s="6"/>
      <c r="P6" s="6"/>
      <c r="Q6" s="6"/>
      <c r="R6" s="6"/>
      <c r="S6" s="6"/>
      <c r="T6" s="6"/>
      <c r="U6" s="6"/>
      <c r="V6" s="6"/>
      <c r="W6" s="6"/>
      <c r="X6" s="6"/>
    </row>
    <row r="7" ht="14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/>
      <c r="M7" s="1"/>
      <c r="N7" s="1"/>
      <c r="O7" s="6"/>
      <c r="P7" s="6"/>
      <c r="Q7" s="6"/>
      <c r="R7" s="6"/>
      <c r="S7" s="6"/>
      <c r="T7" s="6"/>
      <c r="U7" s="6"/>
      <c r="V7" s="6"/>
      <c r="W7" s="6"/>
      <c r="X7" s="6"/>
    </row>
    <row r="8" ht="14.25">
      <c r="A8" s="6"/>
      <c r="B8" s="6"/>
      <c r="C8" s="6" t="s">
        <v>232</v>
      </c>
      <c r="D8" s="6"/>
      <c r="E8" s="6"/>
      <c r="F8" s="6"/>
      <c r="G8" s="6"/>
      <c r="H8" s="6"/>
      <c r="I8" s="6"/>
      <c r="J8" s="6"/>
      <c r="K8" s="6"/>
      <c r="L8" s="1"/>
      <c r="M8" s="1"/>
      <c r="N8" s="1"/>
      <c r="O8" s="6"/>
      <c r="P8" s="6"/>
      <c r="Q8" s="6"/>
      <c r="R8" s="6"/>
      <c r="S8" s="6"/>
      <c r="T8" s="6"/>
      <c r="U8" s="6"/>
      <c r="V8" s="6"/>
      <c r="W8" s="6"/>
      <c r="X8" s="6"/>
    </row>
    <row r="9" ht="14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1"/>
      <c r="M9" s="1"/>
      <c r="N9" s="1"/>
      <c r="O9" s="6"/>
      <c r="P9" s="6"/>
      <c r="Q9" s="6"/>
      <c r="R9" s="6"/>
      <c r="S9" s="6"/>
      <c r="T9" s="6"/>
      <c r="U9" s="6"/>
      <c r="V9" s="6"/>
      <c r="W9" s="6"/>
      <c r="X9" s="6"/>
    </row>
    <row r="10" ht="14.25">
      <c r="A10" s="6"/>
      <c r="B10" s="6"/>
      <c r="C10" s="11" t="s">
        <v>266</v>
      </c>
      <c r="D10" s="11" t="s">
        <v>267</v>
      </c>
      <c r="E10" s="11" t="s">
        <v>268</v>
      </c>
      <c r="F10" s="11" t="s">
        <v>269</v>
      </c>
      <c r="G10" s="11" t="s">
        <v>270</v>
      </c>
      <c r="H10" s="11" t="s">
        <v>271</v>
      </c>
      <c r="I10" s="11" t="s">
        <v>272</v>
      </c>
      <c r="J10" s="11" t="s">
        <v>273</v>
      </c>
      <c r="K10" s="6"/>
      <c r="L10" s="1" t="s">
        <v>27</v>
      </c>
      <c r="M10" s="1" t="s">
        <v>28</v>
      </c>
      <c r="N10" s="1" t="s">
        <v>29</v>
      </c>
      <c r="O10" s="1" t="s">
        <v>30</v>
      </c>
      <c r="P10" s="1" t="s">
        <v>31</v>
      </c>
      <c r="Q10" s="6"/>
      <c r="R10" s="6"/>
      <c r="S10" s="1" t="s">
        <v>32</v>
      </c>
      <c r="T10" s="6"/>
      <c r="U10" s="6"/>
      <c r="V10" s="6"/>
      <c r="W10" s="6"/>
      <c r="X10" s="6"/>
    </row>
    <row r="11" ht="14.25">
      <c r="A11" s="6"/>
      <c r="B11" s="6"/>
      <c r="C11" s="6">
        <v>0</v>
      </c>
      <c r="D11" s="8">
        <v>1</v>
      </c>
      <c r="E11" s="6">
        <v>0</v>
      </c>
      <c r="F11" s="8">
        <v>1</v>
      </c>
      <c r="G11" s="6">
        <v>0</v>
      </c>
      <c r="H11" s="6">
        <v>0</v>
      </c>
      <c r="I11" s="6">
        <v>0</v>
      </c>
      <c r="J11" s="6">
        <v>0</v>
      </c>
      <c r="K11" s="6"/>
      <c r="L11" s="1">
        <f>VALUE(C11&amp;D11&amp;E11&amp;F11&amp;G11&amp;H11&amp;I11&amp;J11)</f>
        <v>1010000</v>
      </c>
      <c r="M11" s="1" t="str">
        <f>BIN2HEX(L11)</f>
        <v>50</v>
      </c>
      <c r="N11" s="1">
        <f>BIN2DEC(L11)</f>
        <v>80</v>
      </c>
      <c r="O11" s="10" t="s">
        <v>274</v>
      </c>
      <c r="P11" s="6" t="str">
        <f>$P$1&amp;"_"&amp;O11</f>
        <v>SX1276_LoRa_Rx_STATE_VALID</v>
      </c>
      <c r="Q11" s="6"/>
      <c r="R11" s="6"/>
      <c r="S11" s="6" t="str">
        <f>$P$4&amp;" "&amp;P11&amp;" "&amp;$P$5&amp;M11</f>
        <v xml:space="preserve">#define SX1276_LoRa_Rx_STATE_VALID 0x50</v>
      </c>
      <c r="T11" s="6"/>
      <c r="U11" s="6"/>
      <c r="V11" s="6"/>
      <c r="W11" s="6"/>
      <c r="X11" s="6"/>
    </row>
    <row r="12" ht="14.25"/>
    <row r="13" ht="14.25"/>
    <row r="14" ht="14.25"/>
    <row r="15" ht="14.25"/>
    <row r="16" ht="14.25"/>
    <row r="17" ht="14.25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4" activeCellId="0" sqref="B4"/>
    </sheetView>
  </sheetViews>
  <sheetFormatPr defaultRowHeight="14.449999999999999"/>
  <sheetData>
    <row r="1">
      <c r="A1" t="s">
        <v>275</v>
      </c>
      <c r="B1" t="s">
        <v>276</v>
      </c>
    </row>
    <row r="2">
      <c r="A2">
        <v>0</v>
      </c>
      <c r="B2">
        <v>10</v>
      </c>
    </row>
    <row r="3">
      <c r="A3">
        <v>1</v>
      </c>
      <c r="B3">
        <v>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HeadingPairs>
    <vt:vector size="0" baseType="variant"/>
  </HeadingPairs>
  <TitlesOfParts>
    <vt:vector size="0" baseType="lpstr"/>
  </TitlesOfParts>
  <Manager/>
  <Company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De, Soumadeep</dc:creator>
  <cp:keywords/>
  <dc:description/>
  <cp:revision>4</cp:revision>
  <dcterms:created xsi:type="dcterms:W3CDTF">2023-09-15T11:38:58Z</dcterms:created>
  <dcterms:modified xsi:type="dcterms:W3CDTF">2025-06-23T17:04:06Z</dcterms:modified>
  <cp:category/>
  <cp:contentStatus/>
</cp:coreProperties>
</file>