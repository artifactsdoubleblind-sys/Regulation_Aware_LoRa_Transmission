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IS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<sst xmlns="http://schemas.openxmlformats.org/spreadsheetml/2006/main" count="29" uniqueCount="29">
  <si>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Bandwidth</t>
  </si>
  <si>
    <t>kHz</t>
  </si>
  <si>
    <t>SF</t>
  </si>
  <si>
    <t xml:space="preserve">Payload Bytes (PL)</t>
  </si>
  <si>
    <t>CRC</t>
  </si>
  <si>
    <t xml:space="preserve">1 means enabled</t>
  </si>
  <si>
    <t>Rs</t>
  </si>
  <si>
    <t xml:space="preserve">ceil fraction</t>
  </si>
  <si>
    <t>T_payload</t>
  </si>
  <si>
    <t>ms</t>
  </si>
  <si>
    <t>CR</t>
  </si>
  <si>
    <t xml:space="preserve">1 means 4/5</t>
  </si>
  <si>
    <t>Ts</t>
  </si>
  <si>
    <t xml:space="preserve">after ceil op</t>
  </si>
  <si>
    <t>DE</t>
  </si>
  <si>
    <t>LowDataRateOptimize</t>
  </si>
  <si>
    <t xml:space="preserve">times (CR+4)</t>
  </si>
  <si>
    <t>IH</t>
  </si>
  <si>
    <t xml:space="preserve">Header is present</t>
  </si>
  <si>
    <t>T_preamble</t>
  </si>
  <si>
    <t>max</t>
  </si>
  <si>
    <t>n_payload</t>
  </si>
  <si>
    <t>n_preamble</t>
  </si>
  <si>
    <t xml:space="preserve">Preamble Length</t>
  </si>
  <si>
    <t>T_packet</t>
  </si>
  <si>
    <t>kb/s</t>
  </si>
  <si>
    <t xml:space="preserve">preamble Length is 23 in LoRaWAN</t>
  </si>
  <si>
    <t>BW</t>
  </si>
  <si>
    <t xml:space="preserve">Speed (Kb/s)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</si>
</sst>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</patternFill>
    </fill>
    <fill>
      <patternFill patternType="solid">
        <fgColor indexed="5"/>
      </patternFill>
    </fill>
    <fill>
      <patternFill patternType="solid">
        <fgColor rgb="FF00B0F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0" numFmtId="0" xfId="0" applyFill="1"/>
    <xf fontId="0" fillId="3" borderId="0" numFmtId="0" xfId="0" applyFill="1"/>
    <xf fontId="0" fillId="0" borderId="0" numFmtId="16" xfId="0" applyNumberFormat="1"/>
    <xf fontId="0" fillId="4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0"/>
      <c:rAngAx val="0"/>
      <c:perspective val="0"/>
    </c:view3D>
    <c:floor>
      <c:thickness val="0"/>
      <c:spPr bwMode="auto">
        <a:prstGeom prst="rect">
          <a:avLst/>
        </a:prstGeom>
        <a:noFill/>
        <a:ln>
          <a:noFill/>
        </a:ln>
        <a:effectLst/>
      </c:spPr>
    </c:floor>
    <c:sideWall>
      <c:thickness val="0"/>
      <c:spPr bwMode="auto">
        <a:prstGeom prst="rect">
          <a:avLst/>
        </a:prstGeom>
        <a:noFill/>
        <a:ln>
          <a:noFill/>
        </a:ln>
        <a:effectLst/>
      </c:spPr>
    </c:sideWall>
    <c:backWall>
      <c:thickness val="0"/>
      <c:spPr bwMode="auto">
        <a:prstGeom prst="rect">
          <a:avLst/>
        </a:prstGeom>
        <a:noFill/>
        <a:ln>
          <a:noFill/>
        </a:ln>
        <a:effectLst/>
      </c:spPr>
    </c:backWall>
    <c:plotArea>
      <c:layout/>
      <c:surfaceChart>
        <c:wireframe val="0"/>
        <c:ser>
          <c:idx val="0"/>
          <c:order val="0"/>
          <c:tx>
            <c:strRef>
              <c:f>SAISE!$F$17</c:f>
              <c:strCache>
                <c:ptCount val="1"/>
                <c:pt idx="0">
                  <c:v>SF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/>
            <a:effectLst/>
          </c:spPr>
          <c:val>
            <c:numRef>
              <c:f>SAISE!$F$18:$F$45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</c:numCache>
            </c:numRef>
          </c:val>
        </c:ser>
        <c:ser>
          <c:idx val="1"/>
          <c:order val="1"/>
          <c:tx>
            <c:strRef>
              <c:f>SAISE!$G$17</c:f>
              <c:strCache>
                <c:ptCount val="1"/>
                <c:pt idx="0">
                  <c:v>BW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/>
            <a:effectLst/>
          </c:spPr>
          <c:val>
            <c:numRef>
              <c:f>SAISE!$G$18:$G$45</c:f>
              <c:numCache>
                <c:formatCode>General</c:formatCode>
                <c:ptCount val="28"/>
                <c:pt idx="0">
                  <c:v>62.5</c:v>
                </c:pt>
                <c:pt idx="1">
                  <c:v>62.5</c:v>
                </c:pt>
                <c:pt idx="2">
                  <c:v>62.5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</c:numCache>
            </c:numRef>
          </c:val>
        </c:ser>
        <c:ser>
          <c:idx val="2"/>
          <c:order val="2"/>
          <c:tx>
            <c:strRef>
              <c:f>SAISE!$H$17</c:f>
              <c:strCache>
                <c:ptCount val="1"/>
                <c:pt idx="0">
                  <c:v>Speed (Kb/s)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/>
            <a:effectLst/>
          </c:spPr>
          <c:val>
            <c:numRef>
              <c:f>SAISE!$H$18:$H$45</c:f>
              <c:numCache>
                <c:formatCode>General</c:formatCode>
                <c:ptCount val="28"/>
                <c:pt idx="0">
                  <c:v>4.42</c:v>
                </c:pt>
                <c:pt idx="1">
                  <c:v>2.55</c:v>
                </c:pt>
                <c:pt idx="2">
                  <c:v>1.44</c:v>
                </c:pt>
                <c:pt idx="3">
                  <c:v>0.82</c:v>
                </c:pt>
                <c:pt idx="4">
                  <c:v>0.44</c:v>
                </c:pt>
                <c:pt idx="5">
                  <c:v>0.24</c:v>
                </c:pt>
                <c:pt idx="6">
                  <c:v>0.13</c:v>
                </c:pt>
                <c:pt idx="7">
                  <c:v>8.85</c:v>
                </c:pt>
                <c:pt idx="8">
                  <c:v>5.1</c:v>
                </c:pt>
                <c:pt idx="9">
                  <c:v>2.89</c:v>
                </c:pt>
                <c:pt idx="10">
                  <c:v>1.63</c:v>
                </c:pt>
                <c:pt idx="11">
                  <c:v>0.89</c:v>
                </c:pt>
                <c:pt idx="12">
                  <c:v>0.49</c:v>
                </c:pt>
                <c:pt idx="13">
                  <c:v>0.26</c:v>
                </c:pt>
                <c:pt idx="14">
                  <c:v>17.7</c:v>
                </c:pt>
                <c:pt idx="15">
                  <c:v>10.21</c:v>
                </c:pt>
                <c:pt idx="16">
                  <c:v>5.77</c:v>
                </c:pt>
                <c:pt idx="17">
                  <c:v>3.26</c:v>
                </c:pt>
                <c:pt idx="18">
                  <c:v>1.78</c:v>
                </c:pt>
                <c:pt idx="19">
                  <c:v>0.98</c:v>
                </c:pt>
                <c:pt idx="20">
                  <c:v>0.53</c:v>
                </c:pt>
                <c:pt idx="21">
                  <c:v>35.4</c:v>
                </c:pt>
                <c:pt idx="22">
                  <c:v>20.42</c:v>
                </c:pt>
                <c:pt idx="23">
                  <c:v>11.54</c:v>
                </c:pt>
                <c:pt idx="24">
                  <c:v>6.53</c:v>
                </c:pt>
                <c:pt idx="25">
                  <c:v>3.55</c:v>
                </c:pt>
                <c:pt idx="26">
                  <c:v>1.95</c:v>
                </c:pt>
                <c:pt idx="27">
                  <c:v>1.06</c:v>
                </c:pt>
              </c:numCache>
            </c:numRef>
          </c:val>
        </c:ser>
        <c:bandFmts>
          <c:bandFm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/>
              <a:effectLst/>
            </c:spPr>
          </c:bandFmt>
          <c:bandFm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/>
              <a:effectLst/>
            </c:spPr>
          </c:bandFmt>
          <c:bandFm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/>
              <a:effectLst/>
            </c:spPr>
          </c:bandFmt>
          <c:bandFm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/>
              <a:effectLst/>
            </c:spPr>
          </c:bandFmt>
          <c:bandFm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/>
              <a:effectLst/>
            </c:spPr>
          </c:bandFmt>
          <c:bandFmt>
            <c:idx val="5"/>
            <c:spPr bwMode="auto">
              <a:prstGeom prst="rect">
                <a:avLst/>
              </a:prstGeom>
              <a:solidFill>
                <a:schemeClr val="accent6"/>
              </a:solidFill>
              <a:ln/>
              <a:effectLst/>
            </c:spPr>
          </c:bandFmt>
          <c:bandFmt>
            <c:idx val="6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/>
              <a:effectLst/>
            </c:spPr>
          </c:bandFmt>
          <c:bandFmt>
            <c:idx val="7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/>
              <a:effectLst/>
            </c:spPr>
          </c:bandFmt>
          <c:bandFmt>
            <c:idx val="8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/>
              <a:effectLst/>
            </c:spPr>
          </c:bandFmt>
          <c:bandFmt>
            <c:idx val="9"/>
            <c:spPr bwMode="auto">
              <a:prstGeom prst="rect">
                <a:avLst/>
              </a:prstGeom>
              <a:solidFill>
                <a:schemeClr val="accent4">
                  <a:lumMod val="60000"/>
                </a:schemeClr>
              </a:solidFill>
              <a:ln/>
              <a:effectLst/>
            </c:spPr>
          </c:bandFmt>
          <c:bandFmt>
            <c:idx val="10"/>
            <c:spPr bwMode="auto">
              <a:prstGeom prst="rect">
                <a:avLst/>
              </a:prstGeom>
              <a:solidFill>
                <a:schemeClr val="accent5">
                  <a:lumMod val="60000"/>
                </a:schemeClr>
              </a:solidFill>
              <a:ln/>
              <a:effectLst/>
            </c:spPr>
          </c:bandFmt>
          <c:bandFmt>
            <c:idx val="11"/>
            <c:spPr bwMode="auto">
              <a:prstGeom prst="rect">
                <a:avLst/>
              </a:prstGeom>
              <a:solidFill>
                <a:schemeClr val="accent6">
                  <a:lumMod val="60000"/>
                </a:schemeClr>
              </a:solidFill>
              <a:ln/>
              <a:effectLst/>
            </c:spPr>
          </c:bandFmt>
          <c:bandFmt>
            <c:idx val="12"/>
            <c:spPr bwMode="auto">
              <a:prstGeom prst="rect">
                <a:avLst/>
              </a:prstGeom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</c:spPr>
          </c:bandFmt>
          <c:bandFmt>
            <c:idx val="13"/>
            <c:spPr bwMode="auto">
              <a:prstGeom prst="rect">
                <a:avLst/>
              </a:prstGeom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</c:spPr>
          </c:bandFmt>
          <c:bandFmt>
            <c:idx val="14"/>
            <c:spPr bwMode="auto">
              <a:prstGeom prst="rect">
                <a:avLst/>
              </a:prstGeom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</c:spPr>
          </c:bandFmt>
        </c:bandFmts>
        <c:axId val="169682816"/>
        <c:axId val="169681376"/>
        <c:axId val="181621120"/>
      </c:surfaceChart>
      <c:catAx>
        <c:axId val="169682816"/>
        <c:scaling>
          <c:orientation val="minMax"/>
        </c:scaling>
        <c:delete val="0"/>
        <c:axPos val="b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1376"/>
        <c:crosses val="autoZero"/>
        <c:auto val="1"/>
        <c:lblAlgn val="ctr"/>
        <c:lblOffset val="100"/>
        <c:noMultiLvlLbl val="0"/>
      </c:catAx>
      <c:valAx>
        <c:axId val="1696813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2816"/>
        <c:crosses val="autoZero"/>
        <c:crossBetween val="midCat"/>
      </c:valAx>
      <c:serAx>
        <c:axId val="181621120"/>
        <c:scaling>
          <c:orientation val="minMax"/>
        </c:scaling>
        <c:delete val="0"/>
        <c:axPos val="b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1376"/>
        <c:crosses val="autoZero"/>
      </c:ser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9</xdr:col>
      <xdr:colOff>456079</xdr:colOff>
      <xdr:row>0</xdr:row>
      <xdr:rowOff>0</xdr:rowOff>
    </xdr:from>
    <xdr:to>
      <xdr:col>17</xdr:col>
      <xdr:colOff>244926</xdr:colOff>
      <xdr:row>3</xdr:row>
      <xdr:rowOff>20728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552079" y="0"/>
          <a:ext cx="4801613" cy="58102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1</xdr:row>
      <xdr:rowOff>126821</xdr:rowOff>
    </xdr:from>
    <xdr:to>
      <xdr:col>8</xdr:col>
      <xdr:colOff>285940</xdr:colOff>
      <xdr:row>3</xdr:row>
      <xdr:rowOff>162049</xdr:rowOff>
    </xdr:to>
    <xdr:pic>
      <xdr:nvPicPr>
        <xdr:cNvPr id="8" name="Picture 7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3690600" y="4178121"/>
          <a:ext cx="616139" cy="403528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552449</xdr:colOff>
      <xdr:row>1</xdr:row>
      <xdr:rowOff>107008</xdr:rowOff>
    </xdr:from>
    <xdr:to>
      <xdr:col>21</xdr:col>
      <xdr:colOff>213145</xdr:colOff>
      <xdr:row>3</xdr:row>
      <xdr:rowOff>98497</xdr:rowOff>
    </xdr:to>
    <xdr:pic>
      <xdr:nvPicPr>
        <xdr:cNvPr id="9" name="Picture 8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20072350" y="4158308"/>
          <a:ext cx="2073696" cy="359789"/>
        </a:xfrm>
        <a:prstGeom prst="rect">
          <a:avLst/>
        </a:prstGeom>
      </xdr:spPr>
    </xdr:pic>
    <xdr:clientData/>
  </xdr:twoCellAnchor>
  <xdr:twoCellAnchor editAs="oneCell">
    <xdr:from>
      <xdr:col>6</xdr:col>
      <xdr:colOff>501650</xdr:colOff>
      <xdr:row>8</xdr:row>
      <xdr:rowOff>36789</xdr:rowOff>
    </xdr:from>
    <xdr:to>
      <xdr:col>9</xdr:col>
      <xdr:colOff>588175</xdr:colOff>
      <xdr:row>9</xdr:row>
      <xdr:rowOff>114404</xdr:rowOff>
    </xdr:to>
    <xdr:pic>
      <xdr:nvPicPr>
        <xdr:cNvPr id="10" name="Picture 9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13201650" y="5561290"/>
          <a:ext cx="2016924" cy="261763"/>
        </a:xfrm>
        <a:prstGeom prst="rect">
          <a:avLst/>
        </a:prstGeom>
      </xdr:spPr>
    </xdr:pic>
    <xdr:clientData/>
  </xdr:twoCellAnchor>
  <xdr:twoCellAnchor editAs="oneCell">
    <xdr:from>
      <xdr:col>17</xdr:col>
      <xdr:colOff>546100</xdr:colOff>
      <xdr:row>5</xdr:row>
      <xdr:rowOff>79661</xdr:rowOff>
    </xdr:from>
    <xdr:to>
      <xdr:col>22</xdr:col>
      <xdr:colOff>410238</xdr:colOff>
      <xdr:row>7</xdr:row>
      <xdr:rowOff>168379</xdr:rowOff>
    </xdr:to>
    <xdr:pic>
      <xdr:nvPicPr>
        <xdr:cNvPr id="11" name="Picture 10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20167600" y="5051711"/>
          <a:ext cx="2886738" cy="457018"/>
        </a:xfrm>
        <a:prstGeom prst="rect">
          <a:avLst/>
        </a:prstGeom>
      </xdr:spPr>
    </xdr:pic>
    <xdr:clientData/>
  </xdr:twoCellAnchor>
  <xdr:twoCellAnchor editAs="twoCell">
    <xdr:from>
      <xdr:col>9</xdr:col>
      <xdr:colOff>418353</xdr:colOff>
      <xdr:row>20</xdr:row>
      <xdr:rowOff>47811</xdr:rowOff>
    </xdr:from>
    <xdr:to>
      <xdr:col>19</xdr:col>
      <xdr:colOff>0</xdr:colOff>
      <xdr:row>42</xdr:row>
      <xdr:rowOff>97116</xdr:rowOff>
    </xdr:to>
    <xdr:graphicFrame>
      <xdr:nvGraphicFramePr>
        <xdr:cNvPr id="13" name="Chart 1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85" workbookViewId="0">
      <selection activeCell="C4" activeCellId="0" sqref="C4"/>
    </sheetView>
  </sheetViews>
  <sheetFormatPr defaultRowHeight="14.25"/>
  <cols>
    <col bestFit="1" customWidth="1" min="2" max="2" width="15.7265625"/>
    <col bestFit="1" customWidth="1" min="8" max="8" width="10.1796875"/>
    <col bestFit="1" customWidth="1" min="12" max="12" width="10.36328125"/>
    <col bestFit="1" customWidth="1" min="18" max="18" width="8.36328125"/>
  </cols>
  <sheetData>
    <row r="2">
      <c r="B2" t="s">
        <v>0</v>
      </c>
      <c r="C2" s="1">
        <v>125</v>
      </c>
      <c r="D2" t="s">
        <v>1</v>
      </c>
    </row>
    <row r="3">
      <c r="B3" t="s">
        <v>2</v>
      </c>
      <c r="C3" s="1">
        <v>7</v>
      </c>
    </row>
    <row r="4">
      <c r="B4" t="s">
        <v>3</v>
      </c>
      <c r="C4" s="2">
        <v>240</v>
      </c>
    </row>
    <row r="5">
      <c r="B5" t="s">
        <v>4</v>
      </c>
      <c r="C5" s="2">
        <v>1</v>
      </c>
      <c r="D5" t="s">
        <v>5</v>
      </c>
      <c r="F5">
        <v>1</v>
      </c>
      <c r="H5" t="s">
        <v>6</v>
      </c>
      <c r="I5">
        <f>C2/(2^C3)</f>
        <v>0.9765625</v>
      </c>
      <c r="L5" t="s">
        <v>7</v>
      </c>
      <c r="M5">
        <f>((8*C4)-(4*C3)+28+(16*C5)-(20*C8))/(4*(C3-(2*C7)))</f>
        <v>69.142857142857139</v>
      </c>
      <c r="S5" t="s">
        <v>8</v>
      </c>
      <c r="T5">
        <f>M9*I6</f>
        <v>366.59199999999998</v>
      </c>
      <c r="U5" t="s">
        <v>9</v>
      </c>
    </row>
    <row r="6">
      <c r="B6" t="s">
        <v>10</v>
      </c>
      <c r="C6" s="2">
        <v>1</v>
      </c>
      <c r="D6" s="3" t="s">
        <v>11</v>
      </c>
      <c r="F6">
        <v>1</v>
      </c>
      <c r="H6" t="s">
        <v>12</v>
      </c>
      <c r="I6">
        <f>1/I5</f>
        <v>1.024</v>
      </c>
      <c r="J6" t="s">
        <v>9</v>
      </c>
      <c r="L6" t="s">
        <v>13</v>
      </c>
      <c r="M6">
        <f>ROUNDUP(M5,0)</f>
        <v>70</v>
      </c>
    </row>
    <row r="7">
      <c r="B7" t="s">
        <v>14</v>
      </c>
      <c r="C7" s="2">
        <v>0</v>
      </c>
      <c r="D7" t="s">
        <v>15</v>
      </c>
      <c r="F7">
        <v>0</v>
      </c>
      <c r="L7" t="s">
        <v>16</v>
      </c>
      <c r="M7">
        <f>M6*(C6+4)</f>
        <v>350</v>
      </c>
    </row>
    <row r="8">
      <c r="B8" t="s">
        <v>17</v>
      </c>
      <c r="C8" s="2">
        <v>0</v>
      </c>
      <c r="D8" t="s">
        <v>18</v>
      </c>
      <c r="F8">
        <v>0</v>
      </c>
      <c r="H8" t="s">
        <v>19</v>
      </c>
      <c r="I8">
        <f>(C10+4.25)*I6</f>
        <v>12.544</v>
      </c>
      <c r="J8" t="s">
        <v>9</v>
      </c>
      <c r="L8" t="s">
        <v>20</v>
      </c>
      <c r="M8">
        <f>MAX(M7,0)</f>
        <v>350</v>
      </c>
    </row>
    <row r="9">
      <c r="L9" t="s">
        <v>21</v>
      </c>
      <c r="M9">
        <f>M8+8</f>
        <v>358</v>
      </c>
    </row>
    <row r="10">
      <c r="B10" t="s">
        <v>22</v>
      </c>
      <c r="C10" s="2">
        <v>8</v>
      </c>
      <c r="D10" t="s">
        <v>23</v>
      </c>
      <c r="F10">
        <v>8</v>
      </c>
      <c r="S10" t="s">
        <v>24</v>
      </c>
      <c r="T10" s="4">
        <f>I8+T5</f>
        <v>379.13599999999997</v>
      </c>
      <c r="U10" t="s">
        <v>9</v>
      </c>
      <c r="V10">
        <f>ROUND(C4/T10*8,2)</f>
        <v>5.0600000000000005</v>
      </c>
      <c r="W10" t="s">
        <v>25</v>
      </c>
    </row>
    <row r="11">
      <c r="D11" t="s">
        <v>26</v>
      </c>
      <c r="V11">
        <f>V10*1000</f>
        <v>5060.0000000000009</v>
      </c>
    </row>
    <row r="12" ht="14.25">
      <c r="C12">
        <f>T10</f>
        <v>379.13599999999997</v>
      </c>
      <c r="D12">
        <f>C12+88</f>
        <v>467.13599999999997</v>
      </c>
      <c r="M12">
        <f>8*C4-4*C3+28</f>
        <v>1920</v>
      </c>
    </row>
    <row r="14">
      <c r="C14">
        <f>V11</f>
        <v>5060.0000000000009</v>
      </c>
    </row>
    <row r="15">
      <c r="H15">
        <f>MAX(H18:H45)</f>
        <v>35.399999999999999</v>
      </c>
    </row>
    <row r="16">
      <c r="H16">
        <f>MIN(H18:H45)</f>
        <v>0.13</v>
      </c>
    </row>
    <row r="17">
      <c r="C17">
        <v>465</v>
      </c>
      <c r="F17" t="s">
        <v>2</v>
      </c>
      <c r="G17" t="s">
        <v>27</v>
      </c>
      <c r="H17" t="s">
        <v>28</v>
      </c>
    </row>
    <row r="18">
      <c r="C18">
        <f>C17-90</f>
        <v>375</v>
      </c>
      <c r="F18">
        <v>6</v>
      </c>
      <c r="G18">
        <v>62.5</v>
      </c>
      <c r="H18">
        <v>4.4199999999999999</v>
      </c>
    </row>
    <row r="19">
      <c r="F19">
        <v>7</v>
      </c>
      <c r="G19">
        <v>62.5</v>
      </c>
      <c r="H19">
        <v>2.5499999999999998</v>
      </c>
    </row>
    <row r="20">
      <c r="B20">
        <v>475</v>
      </c>
      <c r="C20">
        <v>88</v>
      </c>
      <c r="D20">
        <v>240</v>
      </c>
      <c r="E20">
        <f>B20-C20</f>
        <v>387</v>
      </c>
      <c r="F20">
        <v>8</v>
      </c>
      <c r="G20">
        <v>62.5</v>
      </c>
      <c r="H20">
        <v>1.4399999999999999</v>
      </c>
    </row>
    <row r="21">
      <c r="B21">
        <v>284</v>
      </c>
      <c r="C21">
        <v>88</v>
      </c>
      <c r="D21">
        <v>120</v>
      </c>
      <c r="E21" s="5">
        <f>B21-C21</f>
        <v>196</v>
      </c>
      <c r="F21">
        <v>9</v>
      </c>
      <c r="G21">
        <v>62.5</v>
      </c>
      <c r="H21">
        <v>0.81999999999999995</v>
      </c>
    </row>
    <row r="22">
      <c r="B22">
        <v>197</v>
      </c>
      <c r="C22">
        <v>88</v>
      </c>
      <c r="D22">
        <v>60</v>
      </c>
      <c r="E22" s="5">
        <f>B22-C22</f>
        <v>109</v>
      </c>
      <c r="F22">
        <v>10</v>
      </c>
      <c r="G22">
        <v>62.5</v>
      </c>
      <c r="H22">
        <v>0.44</v>
      </c>
    </row>
    <row r="23">
      <c r="F23">
        <v>11</v>
      </c>
      <c r="G23">
        <v>62.5</v>
      </c>
      <c r="H23">
        <v>0.23999999999999999</v>
      </c>
    </row>
    <row r="24">
      <c r="F24">
        <v>12</v>
      </c>
      <c r="G24">
        <v>62.5</v>
      </c>
      <c r="H24">
        <v>0.13</v>
      </c>
    </row>
    <row r="25">
      <c r="F25">
        <v>6</v>
      </c>
      <c r="G25">
        <v>125</v>
      </c>
      <c r="H25">
        <v>8.8499999999999996</v>
      </c>
    </row>
    <row r="26">
      <c r="F26">
        <v>7</v>
      </c>
      <c r="G26">
        <v>125</v>
      </c>
      <c r="H26">
        <v>5.0999999999999996</v>
      </c>
    </row>
    <row r="27">
      <c r="F27">
        <v>8</v>
      </c>
      <c r="G27">
        <v>125</v>
      </c>
      <c r="H27">
        <v>2.8900000000000001</v>
      </c>
    </row>
    <row r="28">
      <c r="F28">
        <v>9</v>
      </c>
      <c r="G28">
        <v>125</v>
      </c>
      <c r="H28">
        <v>1.6299999999999999</v>
      </c>
    </row>
    <row r="29">
      <c r="F29">
        <v>10</v>
      </c>
      <c r="G29">
        <v>125</v>
      </c>
      <c r="H29">
        <v>0.89000000000000001</v>
      </c>
    </row>
    <row r="30">
      <c r="F30">
        <v>11</v>
      </c>
      <c r="G30">
        <v>125</v>
      </c>
      <c r="H30">
        <v>0.48999999999999999</v>
      </c>
    </row>
    <row r="31">
      <c r="F31">
        <v>12</v>
      </c>
      <c r="G31">
        <v>125</v>
      </c>
      <c r="H31">
        <v>0.26000000000000001</v>
      </c>
    </row>
    <row r="32">
      <c r="F32">
        <v>6</v>
      </c>
      <c r="G32">
        <v>250</v>
      </c>
      <c r="H32">
        <v>17.699999999999999</v>
      </c>
    </row>
    <row r="33">
      <c r="F33">
        <v>7</v>
      </c>
      <c r="G33">
        <v>250</v>
      </c>
      <c r="H33">
        <v>10.210000000000001</v>
      </c>
    </row>
    <row r="34">
      <c r="F34">
        <v>8</v>
      </c>
      <c r="G34">
        <v>250</v>
      </c>
      <c r="H34">
        <v>5.7699999999999996</v>
      </c>
    </row>
    <row r="35">
      <c r="F35">
        <v>9</v>
      </c>
      <c r="G35">
        <v>250</v>
      </c>
      <c r="H35">
        <v>3.2599999999999998</v>
      </c>
    </row>
    <row r="36">
      <c r="F36">
        <v>10</v>
      </c>
      <c r="G36">
        <v>250</v>
      </c>
      <c r="H36">
        <v>1.78</v>
      </c>
    </row>
    <row r="37">
      <c r="F37">
        <v>11</v>
      </c>
      <c r="G37">
        <v>250</v>
      </c>
      <c r="H37">
        <v>0.97999999999999998</v>
      </c>
    </row>
    <row r="38">
      <c r="F38">
        <v>12</v>
      </c>
      <c r="G38">
        <v>250</v>
      </c>
      <c r="H38">
        <v>0.53000000000000003</v>
      </c>
    </row>
    <row r="39">
      <c r="F39">
        <v>6</v>
      </c>
      <c r="G39">
        <v>500</v>
      </c>
      <c r="H39">
        <v>35.399999999999999</v>
      </c>
    </row>
    <row r="40">
      <c r="F40">
        <v>7</v>
      </c>
      <c r="G40">
        <v>500</v>
      </c>
      <c r="H40">
        <v>20.420000000000002</v>
      </c>
    </row>
    <row r="41">
      <c r="F41">
        <v>8</v>
      </c>
      <c r="G41">
        <v>500</v>
      </c>
      <c r="H41">
        <v>11.539999999999999</v>
      </c>
    </row>
    <row r="42">
      <c r="F42">
        <v>9</v>
      </c>
      <c r="G42">
        <v>500</v>
      </c>
      <c r="H42">
        <v>6.5300000000000002</v>
      </c>
    </row>
    <row r="43">
      <c r="F43">
        <v>10</v>
      </c>
      <c r="G43">
        <v>500</v>
      </c>
      <c r="H43">
        <v>3.5499999999999998</v>
      </c>
    </row>
    <row r="44">
      <c r="F44">
        <v>11</v>
      </c>
      <c r="G44">
        <v>500</v>
      </c>
      <c r="H44">
        <v>1.95</v>
      </c>
    </row>
    <row r="45">
      <c r="F45">
        <v>12</v>
      </c>
      <c r="G45">
        <v>500</v>
      </c>
      <c r="H45">
        <v>1.0600000000000001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De, Soumadeep</dc:creator>
  <cp:revision>2</cp:revision>
  <dcterms:created xsi:type="dcterms:W3CDTF">2025-03-06T20:06:52Z</dcterms:created>
  <dcterms:modified xsi:type="dcterms:W3CDTF">2025-06-29T16:36:59Z</dcterms:modified>
</cp:coreProperties>
</file>